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표지" sheetId="1" r:id="rId1"/>
    <sheet name="TB" sheetId="2" r:id="rId2"/>
    <sheet name="재무상태표" sheetId="3" r:id="rId3"/>
    <sheet name="손익계산서" sheetId="4" r:id="rId4"/>
    <sheet name="AJE" sheetId="5" r:id="rId5"/>
    <sheet name="공시용BS" sheetId="6" r:id="rId6"/>
    <sheet name="공시용PL" sheetId="7" r:id="rId7"/>
    <sheet name="공시용자본변동표" sheetId="8" r:id="rId8"/>
    <sheet name="CF정산표" sheetId="9" r:id="rId9"/>
    <sheet name="공시용CF" sheetId="10" r:id="rId10"/>
  </sheets>
  <definedNames>
    <definedName name="_xlnm._FilterDatabase" localSheetId="1" hidden="1">TB!$A$4:$K$61</definedName>
    <definedName name="_xlnm.Print_Titles" localSheetId="1">TB!$4:$4</definedName>
    <definedName name="_xlnm.Print_Titles" localSheetId="5">공시용BS!$4:$4</definedName>
    <definedName name="_xlnm.Print_Titles" localSheetId="6">공시용PL!$4:$4</definedName>
    <definedName name="_xlnm.Print_Titles" localSheetId="3">손익계산서!$6:$6</definedName>
    <definedName name="_xlnm.Print_Titles" localSheetId="2">재무상태표!$6:$6</definedName>
  </definedNames>
  <calcPr calcId="124519" fullCalcOnLoad="1"/>
</workbook>
</file>

<file path=xl/sharedStrings.xml><?xml version="1.0" encoding="utf-8"?>
<sst xmlns="http://schemas.openxmlformats.org/spreadsheetml/2006/main" count="1314" uniqueCount="499">
  <si>
    <t>감사 수정분개(AJE) · 재분류(RJE) · 제7기 2024-12-31</t>
  </si>
  <si>
    <t>한 줄에 계정 하나. TB 시트의 수정 차변 · 대변이 이 시트의 계정코드(I · J 열)로 SUMIFS 한다. 손익 영향은 당기순이익 기준(이익 +).</t>
  </si>
  <si>
    <t>No.</t>
  </si>
  <si>
    <t>구분</t>
  </si>
  <si>
    <t>내역</t>
  </si>
  <si>
    <t>차변</t>
  </si>
  <si>
    <t>대변</t>
  </si>
  <si>
    <t>차변 코드</t>
  </si>
  <si>
    <t>대변 코드</t>
  </si>
  <si>
    <t>손익 영향</t>
  </si>
  <si>
    <t>근거</t>
  </si>
  <si>
    <t>관련 조서</t>
  </si>
  <si>
    <t>회사 반영</t>
  </si>
  <si>
    <t>계정과목</t>
  </si>
  <si>
    <t>금액</t>
  </si>
  <si>
    <t>AJE</t>
  </si>
  <si>
    <t>12월 클라우드 서버 추가 사용분(1월 청구) 미지급비용 계상</t>
  </si>
  <si>
    <t>1월 청구서(구름서버) 사용 기간 2024-12 · 결산일 후 지급 검토</t>
  </si>
  <si>
    <t>4000AA</t>
  </si>
  <si>
    <t>예(2024 장부)</t>
  </si>
  <si>
    <t>용역매출원가</t>
  </si>
  <si>
    <t>미지급비용</t>
  </si>
  <si>
    <t>연간 SaaS 라이선스 선지급분 선급비용 대체</t>
  </si>
  <si>
    <t>클라우드툴즈 연간 라이선스 계약서(2024-12 ~ 2025-11)</t>
  </si>
  <si>
    <t>4000D</t>
  </si>
  <si>
    <t>선급비용</t>
  </si>
  <si>
    <t>지급수수료</t>
  </si>
  <si>
    <t>정기예금 미수이자 추가 계상(회사가 월할로 계산한 차이)</t>
  </si>
  <si>
    <t>정기예금 증서(3.6%, 2024-01-16 ~ 2025-01-15) 일할 계산 350일</t>
  </si>
  <si>
    <t>4000A</t>
  </si>
  <si>
    <t>미수수익</t>
  </si>
  <si>
    <t>이자수익</t>
  </si>
  <si>
    <t>RJE</t>
  </si>
  <si>
    <t>투자유가증권(미국 자회사 100%)을 지분법적용투자주식으로 표시</t>
  </si>
  <si>
    <t>도담소프트 USA Inc. 주주명부 · 해외직접투자 신고서</t>
  </si>
  <si>
    <t>4000F</t>
  </si>
  <si>
    <t>아니오(공시 재분류)</t>
  </si>
  <si>
    <t>지분법적용투자주식</t>
  </si>
  <si>
    <t>투자유가증권</t>
  </si>
  <si>
    <t>합계</t>
  </si>
  <si>
    <t>수정후 시산표(TB) · 제7기 2024-12-31</t>
  </si>
  <si>
    <t>회사제시는 회사가 낸 2024 합계잔액시산표(마감 전)다. 차변 +, 대변 −. 수정 열은 AJE 시트에서 계정코드로 SUMIFS 한다. 전기 최종은 제6기 감사받은 시산표(마감 전, 결손금은 2022 기말)다.</t>
  </si>
  <si>
    <t>계정코드</t>
  </si>
  <si>
    <t>표시과목</t>
  </si>
  <si>
    <t>회사제시</t>
  </si>
  <si>
    <t>수정 차변</t>
  </si>
  <si>
    <t>수정 대변</t>
  </si>
  <si>
    <t>최종</t>
  </si>
  <si>
    <t>전기 최종</t>
  </si>
  <si>
    <t>t/m</t>
  </si>
  <si>
    <t>제예금</t>
  </si>
  <si>
    <t>현금및현금성자산</t>
  </si>
  <si>
    <t>자산</t>
  </si>
  <si>
    <t>✓ PY</t>
  </si>
  <si>
    <t>정기예적금</t>
  </si>
  <si>
    <t>단기금융상품</t>
  </si>
  <si>
    <t>외상매출금</t>
  </si>
  <si>
    <t>매출채권</t>
  </si>
  <si>
    <t>4000C</t>
  </si>
  <si>
    <t>부가세대급금</t>
  </si>
  <si>
    <t>선납세금</t>
  </si>
  <si>
    <t>당기법인세자산</t>
  </si>
  <si>
    <t>4000T</t>
  </si>
  <si>
    <t>장기대여금</t>
  </si>
  <si>
    <t>비품</t>
  </si>
  <si>
    <t>4000G</t>
  </si>
  <si>
    <t>감가상각누계액</t>
  </si>
  <si>
    <t>감가상각누계액(비품)</t>
  </si>
  <si>
    <t>시설장치</t>
  </si>
  <si>
    <t>감가상각누계액(시설장치)</t>
  </si>
  <si>
    <t>소프트웨어</t>
  </si>
  <si>
    <t>4000H</t>
  </si>
  <si>
    <t>산업재산권</t>
  </si>
  <si>
    <t>임차보증금</t>
  </si>
  <si>
    <t>외상매입금</t>
  </si>
  <si>
    <t>매입채무</t>
  </si>
  <si>
    <t>부채</t>
  </si>
  <si>
    <t>미지급금</t>
  </si>
  <si>
    <t>4000CC</t>
  </si>
  <si>
    <t>예수금</t>
  </si>
  <si>
    <t>부가세예수금</t>
  </si>
  <si>
    <t>선수금</t>
  </si>
  <si>
    <t>4000P</t>
  </si>
  <si>
    <t>단기차입금</t>
  </si>
  <si>
    <t>4000BBDD</t>
  </si>
  <si>
    <t>장기차입금</t>
  </si>
  <si>
    <t>보통주자본금</t>
  </si>
  <si>
    <t>자본</t>
  </si>
  <si>
    <t>4000GG</t>
  </si>
  <si>
    <t>우선주자본금</t>
  </si>
  <si>
    <t>주식발행초과금</t>
  </si>
  <si>
    <t>주식매수선택권</t>
  </si>
  <si>
    <t>미처리결손금</t>
  </si>
  <si>
    <t>국내구독매출</t>
  </si>
  <si>
    <t>수익</t>
  </si>
  <si>
    <t>해외구독매출</t>
  </si>
  <si>
    <t>비용</t>
  </si>
  <si>
    <t>4000Q</t>
  </si>
  <si>
    <t>직원급여</t>
  </si>
  <si>
    <t>급여</t>
  </si>
  <si>
    <t>4000EE</t>
  </si>
  <si>
    <t>상여금</t>
  </si>
  <si>
    <t>퇴직급여</t>
  </si>
  <si>
    <t>복리후생비</t>
  </si>
  <si>
    <t>여비교통비</t>
  </si>
  <si>
    <t>기업업무추진비</t>
  </si>
  <si>
    <t>통신비</t>
  </si>
  <si>
    <t>세금과공과</t>
  </si>
  <si>
    <t>감가상각비</t>
  </si>
  <si>
    <t>지급임차료</t>
  </si>
  <si>
    <t>보험료</t>
  </si>
  <si>
    <t>차량유지비</t>
  </si>
  <si>
    <t>도서인쇄비</t>
  </si>
  <si>
    <t>소모품비</t>
  </si>
  <si>
    <t>광고선전비</t>
  </si>
  <si>
    <t>무형자산상각비</t>
  </si>
  <si>
    <t>경상연구개발비</t>
  </si>
  <si>
    <t>주식보상비용</t>
  </si>
  <si>
    <t>외환차익</t>
  </si>
  <si>
    <t>외화환산이익</t>
  </si>
  <si>
    <t>이자비용</t>
  </si>
  <si>
    <t>외환차손</t>
  </si>
  <si>
    <t>차대 검산</t>
  </si>
  <si>
    <t>정산표(손익계산서)</t>
  </si>
  <si>
    <t>제7기 2024-12-31 · 단위: 원 · 계정 줄은 TB 시트를 연결했다(자산 · 비용은 차변, 부채 · 자본 · 수익은 대변을 +로 보인다). 판정: |증감| 이 수행중요성 이상이고 증감률이 10% 이상이면 「설명 필요」</t>
  </si>
  <si>
    <t>판정 기준 금액</t>
  </si>
  <si>
    <t>판정 기준 비율</t>
  </si>
  <si>
    <t>코드</t>
  </si>
  <si>
    <t>회사 계정과목</t>
  </si>
  <si>
    <t>공시용 계정과목</t>
  </si>
  <si>
    <t>분류</t>
  </si>
  <si>
    <t>회사 제시</t>
  </si>
  <si>
    <t>Final</t>
  </si>
  <si>
    <t>전기 Final</t>
  </si>
  <si>
    <t>증감</t>
  </si>
  <si>
    <t>증감률</t>
  </si>
  <si>
    <t>판정</t>
  </si>
  <si>
    <t>수정분개</t>
  </si>
  <si>
    <t>Ⅰ. 매출액</t>
  </si>
  <si>
    <t>매출액</t>
  </si>
  <si>
    <t>rev</t>
  </si>
  <si>
    <t>Ⅱ. 매출원가</t>
  </si>
  <si>
    <t>매출원가</t>
  </si>
  <si>
    <t>cogs</t>
  </si>
  <si>
    <t>A1</t>
  </si>
  <si>
    <t>Ⅲ. 매출총이익</t>
  </si>
  <si>
    <t>Ⅳ. 판매비와관리비</t>
  </si>
  <si>
    <t>판매비와관리비</t>
  </si>
  <si>
    <t>sga</t>
  </si>
  <si>
    <t>A2</t>
  </si>
  <si>
    <t>Ⅴ. 영업손실</t>
  </si>
  <si>
    <t>Ⅵ. 영업외수익</t>
  </si>
  <si>
    <t>영업외수익</t>
  </si>
  <si>
    <t>nonop_in</t>
  </si>
  <si>
    <t>A3</t>
  </si>
  <si>
    <t>Ⅶ. 영업외비용</t>
  </si>
  <si>
    <t>영업외비용</t>
  </si>
  <si>
    <t>nonop_out</t>
  </si>
  <si>
    <t>Ⅷ. 법인세비용차감전순손실</t>
  </si>
  <si>
    <t>Ⅸ. 법인세비용</t>
  </si>
  <si>
    <t>법인세비용</t>
  </si>
  <si>
    <t>Ⅹ. 당기순손실</t>
  </si>
  <si>
    <t>정산표(재무상태표)</t>
  </si>
  <si>
    <t>Ⅰ. 유동자산</t>
  </si>
  <si>
    <t>유동자산</t>
  </si>
  <si>
    <t>(1) 당좌자산</t>
  </si>
  <si>
    <t>당좌자산</t>
  </si>
  <si>
    <t>Ⅱ. 비유동자산</t>
  </si>
  <si>
    <t>비유동자산</t>
  </si>
  <si>
    <t>(1) 투자자산</t>
  </si>
  <si>
    <t>투자자산</t>
  </si>
  <si>
    <t>A4</t>
  </si>
  <si>
    <t>(2) 유형자산</t>
  </si>
  <si>
    <t>유형자산</t>
  </si>
  <si>
    <t>(3) 무형자산</t>
  </si>
  <si>
    <t>무형자산</t>
  </si>
  <si>
    <t>(4) 기타비유동자산</t>
  </si>
  <si>
    <t>기타비유동자산</t>
  </si>
  <si>
    <t>자산총계</t>
  </si>
  <si>
    <t>Ⅰ. 유동부채</t>
  </si>
  <si>
    <t>유동부채</t>
  </si>
  <si>
    <t>Ⅱ. 비유동부채</t>
  </si>
  <si>
    <t>비유동부채</t>
  </si>
  <si>
    <t>부채총계</t>
  </si>
  <si>
    <t>Ⅰ. 자본금</t>
  </si>
  <si>
    <t>자본금</t>
  </si>
  <si>
    <t>Ⅱ. 자본잉여금</t>
  </si>
  <si>
    <t>자본잉여금</t>
  </si>
  <si>
    <t>Ⅲ. 자본조정</t>
  </si>
  <si>
    <t>자본조정</t>
  </si>
  <si>
    <t>Ⅳ. 결손금</t>
  </si>
  <si>
    <t>결손금</t>
  </si>
  <si>
    <t>당기순손익(손익계산서 연동)</t>
  </si>
  <si>
    <t>자본총계</t>
  </si>
  <si>
    <t>부채와자본총계</t>
  </si>
  <si>
    <t>Check(자산총계 − 부채와자본총계)</t>
  </si>
  <si>
    <t>당기순손익 대사</t>
  </si>
  <si>
    <t>회사 제시 당기순손익</t>
  </si>
  <si>
    <t>수정분개 손익 영향</t>
  </si>
  <si>
    <t>감사 후 당기순손익</t>
  </si>
  <si>
    <t>손익계산서 Final</t>
  </si>
  <si>
    <t>차이</t>
  </si>
  <si>
    <t>재무상태표(공시용)</t>
  </si>
  <si>
    <t>제7(당)기 2024-12-31 현재 · 제6(전)기 2023-12-31 현재 · 단위: 원 · 정산표를 공시용 계정과목(H 열)으로 SUMIF</t>
  </si>
  <si>
    <t>과목</t>
  </si>
  <si>
    <t>주석</t>
  </si>
  <si>
    <t>당기(회사제시)</t>
  </si>
  <si>
    <t>당기(최종)</t>
  </si>
  <si>
    <t>전기(최종)</t>
  </si>
  <si>
    <t>표시과목(정산표 연결)</t>
  </si>
  <si>
    <t>BS</t>
  </si>
  <si>
    <t xml:space="preserve">  (1) 당좌자산</t>
  </si>
  <si>
    <t xml:space="preserve">      현금및현금성자산</t>
  </si>
  <si>
    <t>3,15</t>
  </si>
  <si>
    <t xml:space="preserve">      단기금융상품</t>
  </si>
  <si>
    <t>4</t>
  </si>
  <si>
    <t xml:space="preserve">      매출채권</t>
  </si>
  <si>
    <t>5,15</t>
  </si>
  <si>
    <t xml:space="preserve">      미수수익</t>
  </si>
  <si>
    <t xml:space="preserve">      선급비용</t>
  </si>
  <si>
    <t xml:space="preserve">      부가세대급금</t>
  </si>
  <si>
    <t xml:space="preserve">      당기법인세자산</t>
  </si>
  <si>
    <t>16</t>
  </si>
  <si>
    <t xml:space="preserve">  (1) 투자자산</t>
  </si>
  <si>
    <t xml:space="preserve">      장기대여금</t>
  </si>
  <si>
    <t>6</t>
  </si>
  <si>
    <t xml:space="preserve">      지분법적용투자주식</t>
  </si>
  <si>
    <t>7,18</t>
  </si>
  <si>
    <t xml:space="preserve">  (2) 유형자산</t>
  </si>
  <si>
    <t>8,17</t>
  </si>
  <si>
    <t xml:space="preserve">      비품</t>
  </si>
  <si>
    <t xml:space="preserve">      감가상각누계액</t>
  </si>
  <si>
    <t xml:space="preserve">      시설장치</t>
  </si>
  <si>
    <t xml:space="preserve">  (3) 무형자산</t>
  </si>
  <si>
    <t>9</t>
  </si>
  <si>
    <t xml:space="preserve">      소프트웨어</t>
  </si>
  <si>
    <t xml:space="preserve">      산업재산권</t>
  </si>
  <si>
    <t xml:space="preserve">  (4) 기타비유동자산</t>
  </si>
  <si>
    <t xml:space="preserve">      임차보증금</t>
  </si>
  <si>
    <t>17</t>
  </si>
  <si>
    <t xml:space="preserve">      매입채무</t>
  </si>
  <si>
    <t xml:space="preserve">      미지급금</t>
  </si>
  <si>
    <t xml:space="preserve">      예수금</t>
  </si>
  <si>
    <t xml:space="preserve">      부가세예수금</t>
  </si>
  <si>
    <t xml:space="preserve">      선수금</t>
  </si>
  <si>
    <t>13</t>
  </si>
  <si>
    <t xml:space="preserve">      미지급비용</t>
  </si>
  <si>
    <t xml:space="preserve">      단기차입금</t>
  </si>
  <si>
    <t>10,17</t>
  </si>
  <si>
    <t xml:space="preserve">      장기차입금</t>
  </si>
  <si>
    <t>10</t>
  </si>
  <si>
    <t>11</t>
  </si>
  <si>
    <t xml:space="preserve">      보통주자본금</t>
  </si>
  <si>
    <t xml:space="preserve">      우선주자본금</t>
  </si>
  <si>
    <t xml:space="preserve">      주식발행초과금</t>
  </si>
  <si>
    <t xml:space="preserve">      주식매수선택권</t>
  </si>
  <si>
    <t>12</t>
  </si>
  <si>
    <t xml:space="preserve">      미처리결손금</t>
  </si>
  <si>
    <t>대사: 자산총계 − 정산표 자산총계</t>
  </si>
  <si>
    <t>대사: 자산총계 − 부채와자본총계</t>
  </si>
  <si>
    <t>손익계산서(공시용)</t>
  </si>
  <si>
    <t>제7(당)기 2024-01-01 ~ 2024-12-31 · 제6(전)기 2023-01-01 ~ 2023-12-31 · 단위: 원 · 정산표를 공시용 계정과목(H 열)으로 SUMIF</t>
  </si>
  <si>
    <t>IS</t>
  </si>
  <si>
    <t>13,18</t>
  </si>
  <si>
    <t xml:space="preserve">    국내구독매출</t>
  </si>
  <si>
    <t xml:space="preserve">    해외구독매출</t>
  </si>
  <si>
    <t xml:space="preserve">    용역매출원가</t>
  </si>
  <si>
    <t>매출총이익</t>
  </si>
  <si>
    <t xml:space="preserve">    급여</t>
  </si>
  <si>
    <t xml:space="preserve">    상여금</t>
  </si>
  <si>
    <t xml:space="preserve">    퇴직급여</t>
  </si>
  <si>
    <t>14</t>
  </si>
  <si>
    <t xml:space="preserve">    복리후생비</t>
  </si>
  <si>
    <t xml:space="preserve">    여비교통비</t>
  </si>
  <si>
    <t xml:space="preserve">    기업업무추진비</t>
  </si>
  <si>
    <t xml:space="preserve">    통신비</t>
  </si>
  <si>
    <t xml:space="preserve">    세금과공과</t>
  </si>
  <si>
    <t xml:space="preserve">    감가상각비</t>
  </si>
  <si>
    <t>8</t>
  </si>
  <si>
    <t xml:space="preserve">    지급임차료</t>
  </si>
  <si>
    <t xml:space="preserve">    보험료</t>
  </si>
  <si>
    <t xml:space="preserve">    차량유지비</t>
  </si>
  <si>
    <t xml:space="preserve">    도서인쇄비</t>
  </si>
  <si>
    <t xml:space="preserve">    소모품비</t>
  </si>
  <si>
    <t xml:space="preserve">    지급수수료</t>
  </si>
  <si>
    <t>18</t>
  </si>
  <si>
    <t xml:space="preserve">    광고선전비</t>
  </si>
  <si>
    <t xml:space="preserve">    무형자산상각비</t>
  </si>
  <si>
    <t xml:space="preserve">    경상연구개발비</t>
  </si>
  <si>
    <t xml:space="preserve">    주식보상비용</t>
  </si>
  <si>
    <t>Ⅴ. 영업이익(손실)</t>
  </si>
  <si>
    <t>영업이익</t>
  </si>
  <si>
    <t xml:space="preserve">    이자수익</t>
  </si>
  <si>
    <t xml:space="preserve">    외환차익</t>
  </si>
  <si>
    <t xml:space="preserve">    외화환산이익</t>
  </si>
  <si>
    <t>15</t>
  </si>
  <si>
    <t xml:space="preserve">    이자비용</t>
  </si>
  <si>
    <t xml:space="preserve">    외환차손</t>
  </si>
  <si>
    <t>Ⅷ. 법인세비용차감전순이익(손실)</t>
  </si>
  <si>
    <t>법인세비용차감전순이익</t>
  </si>
  <si>
    <t>Ⅹ. 당기순이익(손실)</t>
  </si>
  <si>
    <t>당기순이익</t>
  </si>
  <si>
    <t>대사: 당기순이익 − 정산표 당기순손익</t>
  </si>
  <si>
    <t>자본변동표(공시용)</t>
  </si>
  <si>
    <t>제7(당)기 2024-01-01 ~ 2024-12-31 · 제6(전)기 2023-01-01 ~ 2023-12-31 · 단위: 원</t>
  </si>
  <si>
    <t>기타포괄손익누계액</t>
  </si>
  <si>
    <t>이익잉여금(결손금)</t>
  </si>
  <si>
    <t>총계</t>
  </si>
  <si>
    <t>2023.01.01(전기초)</t>
  </si>
  <si>
    <t>전기 감사보고서 자본변동표</t>
  </si>
  <si>
    <t xml:space="preserve">  주식보상비용</t>
  </si>
  <si>
    <t>2차 주식매수선택권(2023-03-29 부여)</t>
  </si>
  <si>
    <t xml:space="preserve">  당기순손실</t>
  </si>
  <si>
    <t>정산표(손익계산서) 전기 Final</t>
  </si>
  <si>
    <t>2023.12.31(전기말)</t>
  </si>
  <si>
    <t>2024.01.01(당기초)</t>
  </si>
  <si>
    <t xml:space="preserve">  유상증자(상환전환우선주 30,000주)</t>
  </si>
  <si>
    <t>2024-07-15 납입, 1주 100,000원</t>
  </si>
  <si>
    <t>TB 주식보상비용 최종</t>
  </si>
  <si>
    <t>정산표(손익계산서) Final</t>
  </si>
  <si>
    <t>2024.12.31(당기말)</t>
  </si>
  <si>
    <t>공시용BS 당기말(최종)</t>
  </si>
  <si>
    <t>대사(당기말 − 공시용BS)</t>
  </si>
  <si>
    <t>공시용BS 전기말(최종)</t>
  </si>
  <si>
    <t>대사(전기말 − 공시용BS)</t>
  </si>
  <si>
    <t>현금흐름 정산표 · 제7기</t>
  </si>
  <si>
    <t>1) 현금을 뺀 재무상태표 계정의 증감을 현금흐름 효과(유입 +)로 바꾸고, 2) 그 효과를 현금흐름표 과목으로 배분한다. 배분 합계가 효과와 같아야 한다(판정 OK). 정기예금 3,000,000,000 은 2024-01-16 같은 금액으로 재예치해 현금 흐름이 없다.</t>
  </si>
  <si>
    <t>전기말(차변 +)</t>
  </si>
  <si>
    <t>당기말(차변 +)</t>
  </si>
  <si>
    <t>현금흐름 효과</t>
  </si>
  <si>
    <t>배분 합계</t>
  </si>
  <si>
    <t>NI</t>
  </si>
  <si>
    <t>당기순손익(손익 계정 합계)</t>
  </si>
  <si>
    <t>FX</t>
  </si>
  <si>
    <t>외화예금 기말 환산(현금 계정)</t>
  </si>
  <si>
    <t>합계(= 현금 증감)</t>
  </si>
  <si>
    <t>현금및현금성자산 증감(TB)</t>
  </si>
  <si>
    <t>배분</t>
  </si>
  <si>
    <t>현금흐름표 과목</t>
  </si>
  <si>
    <t>활동</t>
  </si>
  <si>
    <t>당기순손실</t>
  </si>
  <si>
    <t>영업</t>
  </si>
  <si>
    <t>영업 · 조정</t>
  </si>
  <si>
    <t>자산대장 비품 상각</t>
  </si>
  <si>
    <t>자산대장 시설장치 상각</t>
  </si>
  <si>
    <t>자산대장 소프트웨어 상각</t>
  </si>
  <si>
    <t>자산대장 산업재산권 상각</t>
  </si>
  <si>
    <t>TB 주식보상비용</t>
  </si>
  <si>
    <t>일본 지점 매출채권 기말 환산</t>
  </si>
  <si>
    <t>USD · JPY 예금 기말 환산</t>
  </si>
  <si>
    <t>외화표시 현금의 환율변동효과</t>
  </si>
  <si>
    <t>환율</t>
  </si>
  <si>
    <t>현금흐름표 별도 줄</t>
  </si>
  <si>
    <t>매출채권의 증가</t>
  </si>
  <si>
    <t>영업 · 운전자본</t>
  </si>
  <si>
    <t>계정 증감(외화 환산분 제외)</t>
  </si>
  <si>
    <t>미수수익의 감소(증가)</t>
  </si>
  <si>
    <t>계정 증감</t>
  </si>
  <si>
    <t>선급비용의 증가</t>
  </si>
  <si>
    <t>부가세대급금의 감소(증가)</t>
  </si>
  <si>
    <t>당기법인세자산의 증가</t>
  </si>
  <si>
    <t>매입채무의 증가</t>
  </si>
  <si>
    <t>미지급금의 증가</t>
  </si>
  <si>
    <t>예수금의 증가</t>
  </si>
  <si>
    <t>부가세예수금의 증가(감소)</t>
  </si>
  <si>
    <t>선수금의 증가</t>
  </si>
  <si>
    <t>미지급비용의 증가</t>
  </si>
  <si>
    <t>비품의 취득</t>
  </si>
  <si>
    <t>투자</t>
  </si>
  <si>
    <t>자산대장 취득</t>
  </si>
  <si>
    <t>소프트웨어의 취득</t>
  </si>
  <si>
    <t>유상증자</t>
  </si>
  <si>
    <t>재무</t>
  </si>
  <si>
    <t>2024-07-15 유상증자</t>
  </si>
  <si>
    <t>현금흐름표(공시용, 간접법)</t>
  </si>
  <si>
    <t>제7(당)기 2024-01-01 ~ 2024-12-31 · 제6(전)기 2023-01-01 ~ 2023-12-31 · 단위: 원 · 당기는 CF정산표 배분을 SUMIF, 전기는 전기 감사보고서</t>
  </si>
  <si>
    <t>당기</t>
  </si>
  <si>
    <t>전기</t>
  </si>
  <si>
    <t>현금흐름표 과목(연결)</t>
  </si>
  <si>
    <t>CF</t>
  </si>
  <si>
    <t>Ⅰ. 영업활동으로 인한 현금흐름</t>
  </si>
  <si>
    <t xml:space="preserve">  1. 당기순손실</t>
  </si>
  <si>
    <t xml:space="preserve">  2. 현금의 유출이 없는 비용 등의 가산</t>
  </si>
  <si>
    <t xml:space="preserve">      감가상각비</t>
  </si>
  <si>
    <t xml:space="preserve">      무형자산상각비</t>
  </si>
  <si>
    <t xml:space="preserve">      주식보상비용</t>
  </si>
  <si>
    <t xml:space="preserve">  3. 현금의 유입이 없는 수익 등의 차감</t>
  </si>
  <si>
    <t xml:space="preserve">      외화환산이익</t>
  </si>
  <si>
    <t xml:space="preserve">  4. 영업활동으로 인한 자산 · 부채의 변동</t>
  </si>
  <si>
    <t xml:space="preserve">      매출채권의 증가</t>
  </si>
  <si>
    <t xml:space="preserve">      미수수익의 감소(증가)</t>
  </si>
  <si>
    <t xml:space="preserve">      선급비용의 증가</t>
  </si>
  <si>
    <t xml:space="preserve">      부가세대급금의 감소(증가)</t>
  </si>
  <si>
    <t xml:space="preserve">      당기법인세자산의 증가</t>
  </si>
  <si>
    <t xml:space="preserve">      매입채무의 증가</t>
  </si>
  <si>
    <t xml:space="preserve">      미지급금의 증가</t>
  </si>
  <si>
    <t xml:space="preserve">      예수금의 증가</t>
  </si>
  <si>
    <t xml:space="preserve">      부가세예수금의 증가(감소)</t>
  </si>
  <si>
    <t xml:space="preserve">      선수금의 증가</t>
  </si>
  <si>
    <t xml:space="preserve">      미지급비용의 증가</t>
  </si>
  <si>
    <t>Ⅱ. 투자활동으로 인한 현금흐름</t>
  </si>
  <si>
    <t xml:space="preserve">  1. 투자활동으로 인한 현금유입액</t>
  </si>
  <si>
    <t xml:space="preserve">  2. 투자활동으로 인한 현금유출액</t>
  </si>
  <si>
    <t xml:space="preserve">      단기금융상품의 증가</t>
  </si>
  <si>
    <t>단기금융상품의 증가</t>
  </si>
  <si>
    <t xml:space="preserve">      비품의 취득</t>
  </si>
  <si>
    <t xml:space="preserve">      시설장치의 취득</t>
  </si>
  <si>
    <t>시설장치의 취득</t>
  </si>
  <si>
    <t xml:space="preserve">      소프트웨어의 취득</t>
  </si>
  <si>
    <t xml:space="preserve">      산업재산권의 취득</t>
  </si>
  <si>
    <t>산업재산권의 취득</t>
  </si>
  <si>
    <t>Ⅲ. 재무활동으로 인한 현금흐름</t>
  </si>
  <si>
    <t xml:space="preserve">  1. 재무활동으로 인한 현금유입액</t>
  </si>
  <si>
    <t xml:space="preserve">      유상증자</t>
  </si>
  <si>
    <t xml:space="preserve">      장기차입금의 차입</t>
  </si>
  <si>
    <t>장기차입금의 차입</t>
  </si>
  <si>
    <t xml:space="preserve">  2. 재무활동으로 인한 현금유출액</t>
  </si>
  <si>
    <t>Ⅳ. 현금의 증가(감소)(Ⅰ+Ⅱ+Ⅲ)</t>
  </si>
  <si>
    <t>Ⅴ. 기초의 현금</t>
  </si>
  <si>
    <t>Ⅵ. 외화표시 현금의 환율변동효과</t>
  </si>
  <si>
    <t>Ⅶ. 기말의 현금</t>
  </si>
  <si>
    <t>대사: 기말의 현금 − 공시용BS 현금및현금성자산</t>
  </si>
  <si>
    <t>도담소프트(가상) 전기조서 · 정산표(WTB)</t>
  </si>
  <si>
    <t>제7기 2024년 1월 1일 ~ 2024년 12월 31일 · 단위: 원 · 가상 자료(감사 실습용)</t>
  </si>
  <si>
    <t>회사</t>
  </si>
  <si>
    <t>도담소프트(가상)</t>
  </si>
  <si>
    <t>회계기간</t>
  </si>
  <si>
    <t>2024-01-01 ~ 2024-12-31 (제7기)</t>
  </si>
  <si>
    <t>결산일</t>
  </si>
  <si>
    <t>2024-12-31</t>
  </si>
  <si>
    <t>감사인</t>
  </si>
  <si>
    <t>한울감사반(가상)</t>
  </si>
  <si>
    <t>적용 회계기준</t>
  </si>
  <si>
    <t>일반기업회계기준</t>
  </si>
  <si>
    <t>조서번호</t>
  </si>
  <si>
    <t>8100B 정산표 · 8100A 수정사항</t>
  </si>
  <si>
    <t>파일 판</t>
  </si>
  <si>
    <t>v3.1 (감사보고서일 2025-03-12 최종)</t>
  </si>
  <si>
    <t>작성</t>
  </si>
  <si>
    <t>서나래(가상) · 2025-02-20</t>
  </si>
  <si>
    <t>검토</t>
  </si>
  <si>
    <t>정가상(가상) · 2025-03-05</t>
  </si>
  <si>
    <t>중요성</t>
  </si>
  <si>
    <t>기준</t>
  </si>
  <si>
    <t>재무제표 전체 중요성</t>
  </si>
  <si>
    <t>매출액 9,990,547,268원의 1%(10만 원 미만 버림)</t>
  </si>
  <si>
    <t>수행중요성</t>
  </si>
  <si>
    <t>전체 중요성의 75%</t>
  </si>
  <si>
    <t>명백히 사소한 금액</t>
  </si>
  <si>
    <t>전체 중요성의 5%</t>
  </si>
  <si>
    <t>검산(수식)</t>
  </si>
  <si>
    <t>항목</t>
  </si>
  <si>
    <t>결과</t>
  </si>
  <si>
    <t>확인한 곳</t>
  </si>
  <si>
    <t>TB 차대(회사제시 · 수정 · 최종 · 전기)</t>
  </si>
  <si>
    <t>TB 차대 검산 줄</t>
  </si>
  <si>
    <t>정산표 재무상태표 대차(회사 제시 · Final · 전기)</t>
  </si>
  <si>
    <t>재무상태표 Check 줄</t>
  </si>
  <si>
    <t>수정분개 차변 합계 = 대변 합계</t>
  </si>
  <si>
    <t>AJE 합계 줄</t>
  </si>
  <si>
    <t>당기순손익 대사(회사 제시 + 수정 = Final)</t>
  </si>
  <si>
    <t>AJE 당기순손익 대사</t>
  </si>
  <si>
    <t>공시용BS = 정산표, 자산 = 부채와자본</t>
  </si>
  <si>
    <t>공시용BS 대사 두 줄</t>
  </si>
  <si>
    <t>공시용PL 당기순이익 = 정산표</t>
  </si>
  <si>
    <t>공시용PL 대사 줄</t>
  </si>
  <si>
    <t>자본변동표 당기말 · 전기말 = 공시용BS</t>
  </si>
  <si>
    <t>공시용자본변동표 대사 두 줄</t>
  </si>
  <si>
    <t>CF정산표 배분 합계 = 계정 증감, 효과 합계 = 현금 증감</t>
  </si>
  <si>
    <t>CF정산표 판정</t>
  </si>
  <si>
    <t>현금흐름표 기말의 현금 = 재무상태표 현금및현금성자산</t>
  </si>
  <si>
    <t>공시용CF 대사 줄</t>
  </si>
  <si>
    <t>시트</t>
  </si>
  <si>
    <t>무엇을 담았나</t>
  </si>
  <si>
    <t>TB</t>
  </si>
  <si>
    <t>회사제시 시산표(마감 전, 차변 +, 대변 −). 수정 열은 AJE 시트에서 계정코드로 SUMIFS. 전기 최종은 제6기 감사받은 시산표</t>
  </si>
  <si>
    <t>재무상태표 · 손익계산서</t>
  </si>
  <si>
    <t>정산표. 계정마다 회사 제시 → 수정 → Final, 전기 Final, 증감과 판정(수행중요성 이상이고 10% 이상이면 「설명 필요」)</t>
  </si>
  <si>
    <t>감사 수정분개 3건(AJE)과 표시 재분류 1건(RJE). 회사 반영 여부, 손익 영향, 당기순손익 대사</t>
  </si>
  <si>
    <t>공시용BS · 공시용PL</t>
  </si>
  <si>
    <t>정산표 Final 을 공시용 계정과목으로 SUMIF 한 재무제표. 감사보고서 재무상태표 · 손익계산서와 같은 숫자</t>
  </si>
  <si>
    <t>공시용자본변동표</t>
  </si>
  <si>
    <t>전기초부터 당기말까지 자본 변동. 기말은 공시용BS 와 대사</t>
  </si>
  <si>
    <t>CF정산표 · 공시용CF</t>
  </si>
  <si>
    <t>계정별 증감을 현금흐름표 과목으로 배분(배분 합계 = 증감)하고 간접법 현금흐름표로 모음</t>
  </si>
  <si>
    <t>범례</t>
  </si>
  <si>
    <t>노란 칸</t>
  </si>
  <si>
    <t>회사 제시 금액과 감사인이 입력한 값</t>
  </si>
  <si>
    <t>회색 칸</t>
  </si>
  <si>
    <t>전기 감사보고서 · 전기조서에서 옮긴 값</t>
  </si>
  <si>
    <t>파란 글자</t>
  </si>
  <si>
    <t>다른 시트를 연결한 값</t>
  </si>
  <si>
    <t>t/m ✓</t>
  </si>
  <si>
    <t>회사 합계잔액시산표와 일치 확인</t>
  </si>
  <si>
    <t>t/m PY</t>
  </si>
  <si>
    <t>전기 감사보고서 · 전기조서와 일치 확인</t>
  </si>
  <si>
    <t>A1 ~ A4</t>
  </si>
  <si>
    <t>AJE 시트의 수정분개 번호</t>
  </si>
  <si>
    <t>미수정 왜곡표시: 명백히 사소한 금액을 넘는 미수정 항목은 없다. 감사 수정 3건(A1 ~ A3)은 회사가 2024 장부에 반영했고(2025-02-26), 재분류 1건(A4, 투자유가증권 → 지분법적용투자주식)은 공시에만 반영했다.</t>
  </si>
</sst>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9">
    <font>
      <sz val="9"/>
      <color theme="1"/>
      <name val="맑은 고딕"/>
      <family val="2"/>
    </font>
    <font>
      <b/>
      <sz val="13"/>
      <color theme="1"/>
      <name val="맑은 고딕"/>
      <family val="2"/>
    </font>
    <font>
      <sz val="9"/>
      <color rgb="FF707070"/>
      <name val="맑은 고딕"/>
      <family val="2"/>
    </font>
    <font>
      <b/>
      <sz val="9"/>
      <color theme="1"/>
      <name val="맑은 고딕"/>
      <family val="2"/>
    </font>
    <font>
      <b/>
      <sz val="10"/>
      <color theme="1"/>
      <name val="맑은 고딕"/>
      <family val="2"/>
    </font>
    <font>
      <b/>
      <sz val="9"/>
      <color rgb="FF1E7B34"/>
      <name val="맑은 고딕"/>
      <family val="2"/>
    </font>
    <font>
      <sz val="9"/>
      <color rgb="FF404040"/>
      <name val="맑은 고딕"/>
      <family val="2"/>
    </font>
    <font>
      <sz val="9"/>
      <color rgb="FF1F4E79"/>
      <name val="맑은 고딕"/>
      <family val="2"/>
    </font>
    <font>
      <b/>
      <sz val="9"/>
      <color rgb="FFB3261E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AA7B8"/>
      </left>
      <right style="thin">
        <color rgb="FF9AA7B8"/>
      </right>
      <top style="thin">
        <color rgb="FF9AA7B8"/>
      </top>
      <bottom style="thin">
        <color rgb="FF9AA7B8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3" borderId="0" xfId="0" applyNumberFormat="1" applyFill="1" applyAlignment="1">
      <alignment vertical="center"/>
    </xf>
    <xf numFmtId="164" fontId="7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4" borderId="0" xfId="0" applyNumberFormat="1" applyFill="1" applyAlignment="1">
      <alignment vertical="center"/>
    </xf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5" borderId="0" xfId="0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b/>
        <color rgb="FFB3261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B2:D49"/>
  <sheetViews>
    <sheetView showGridLines="0" tabSelected="1" zoomScale="90" zoomScaleNormal="90" workbookViewId="0"/>
  </sheetViews>
  <sheetFormatPr defaultRowHeight="15"/>
  <cols>
    <col min="1" max="1" width="2.7109375" customWidth="1"/>
    <col min="2" max="2" width="34.7109375" customWidth="1"/>
    <col min="3" max="3" width="20.7109375" customWidth="1"/>
    <col min="4" max="4" width="62.7109375" customWidth="1"/>
  </cols>
  <sheetData>
    <row r="2" spans="2:4">
      <c r="B2" s="1" t="s">
        <v>422</v>
      </c>
    </row>
    <row r="3" spans="2:4">
      <c r="B3" s="2" t="s">
        <v>423</v>
      </c>
    </row>
    <row r="4" spans="2:4">
      <c r="B4" s="3" t="s">
        <v>424</v>
      </c>
      <c r="C4" s="4" t="s">
        <v>425</v>
      </c>
      <c r="D4" s="4"/>
    </row>
    <row r="5" spans="2:4">
      <c r="B5" s="3" t="s">
        <v>426</v>
      </c>
      <c r="C5" s="4" t="s">
        <v>427</v>
      </c>
      <c r="D5" s="4"/>
    </row>
    <row r="6" spans="2:4">
      <c r="B6" s="3" t="s">
        <v>428</v>
      </c>
      <c r="C6" s="4" t="s">
        <v>429</v>
      </c>
      <c r="D6" s="4"/>
    </row>
    <row r="7" spans="2:4">
      <c r="B7" s="3" t="s">
        <v>430</v>
      </c>
      <c r="C7" s="4" t="s">
        <v>431</v>
      </c>
      <c r="D7" s="4"/>
    </row>
    <row r="8" spans="2:4">
      <c r="B8" s="3" t="s">
        <v>432</v>
      </c>
      <c r="C8" s="4" t="s">
        <v>433</v>
      </c>
      <c r="D8" s="4"/>
    </row>
    <row r="9" spans="2:4">
      <c r="B9" s="3" t="s">
        <v>434</v>
      </c>
      <c r="C9" s="4" t="s">
        <v>435</v>
      </c>
      <c r="D9" s="4"/>
    </row>
    <row r="10" spans="2:4">
      <c r="B10" s="3" t="s">
        <v>436</v>
      </c>
      <c r="C10" s="4" t="s">
        <v>437</v>
      </c>
      <c r="D10" s="4"/>
    </row>
    <row r="11" spans="2:4">
      <c r="B11" s="3" t="s">
        <v>438</v>
      </c>
      <c r="C11" s="4" t="s">
        <v>439</v>
      </c>
      <c r="D11" s="4"/>
    </row>
    <row r="12" spans="2:4">
      <c r="B12" s="3" t="s">
        <v>440</v>
      </c>
      <c r="C12" s="4" t="s">
        <v>441</v>
      </c>
      <c r="D12" s="4"/>
    </row>
    <row r="14" spans="2:4">
      <c r="B14" s="5" t="s">
        <v>442</v>
      </c>
    </row>
    <row r="15" spans="2:4">
      <c r="B15" s="6" t="s">
        <v>3</v>
      </c>
      <c r="C15" s="6" t="s">
        <v>14</v>
      </c>
      <c r="D15" s="6" t="s">
        <v>443</v>
      </c>
    </row>
    <row r="16" spans="2:4">
      <c r="B16" s="3" t="s">
        <v>444</v>
      </c>
      <c r="C16" s="7">
        <f>ROUNDDOWN('공시용PL'!E5*1%,-5)</f>
        <v>99900000</v>
      </c>
      <c r="D16" s="4" t="s">
        <v>445</v>
      </c>
    </row>
    <row r="17" spans="2:4">
      <c r="B17" s="3" t="s">
        <v>446</v>
      </c>
      <c r="C17" s="7">
        <f>ROUNDDOWN(C16*75%,0)</f>
        <v>74925000</v>
      </c>
      <c r="D17" s="4" t="s">
        <v>447</v>
      </c>
    </row>
    <row r="18" spans="2:4">
      <c r="B18" s="3" t="s">
        <v>448</v>
      </c>
      <c r="C18" s="7">
        <f>ROUNDDOWN(C16*5%,0)</f>
        <v>4995000</v>
      </c>
      <c r="D18" s="4" t="s">
        <v>449</v>
      </c>
    </row>
    <row r="20" spans="2:4">
      <c r="B20" s="5" t="s">
        <v>450</v>
      </c>
    </row>
    <row r="21" spans="2:4">
      <c r="B21" s="6" t="s">
        <v>451</v>
      </c>
      <c r="C21" s="6" t="s">
        <v>452</v>
      </c>
      <c r="D21" s="6" t="s">
        <v>453</v>
      </c>
    </row>
    <row r="22" spans="2:4">
      <c r="B22" s="4" t="s">
        <v>454</v>
      </c>
      <c r="C22" s="8" t="str">
        <f>IF(AND('TB'!E63="OK",'TB'!F63="OK",'TB'!H63="OK",'TB'!I63="OK"),"OK","확인")</f>
        <v>OK</v>
      </c>
      <c r="D22" s="4" t="s">
        <v>455</v>
      </c>
    </row>
    <row r="23" spans="2:4">
      <c r="B23" s="4" t="s">
        <v>456</v>
      </c>
      <c r="C23" s="8" t="str">
        <f>IF(AND('재무상태표'!D59="OK",'재무상태표'!G59="OK",'재무상태표'!H59="OK"),"OK","확인")</f>
        <v>OK</v>
      </c>
      <c r="D23" s="4" t="s">
        <v>457</v>
      </c>
    </row>
    <row r="24" spans="2:4">
      <c r="B24" s="4" t="s">
        <v>458</v>
      </c>
      <c r="C24" s="8" t="str">
        <f>'AJE'!N14</f>
        <v>OK</v>
      </c>
      <c r="D24" s="4" t="s">
        <v>459</v>
      </c>
    </row>
    <row r="25" spans="2:4">
      <c r="B25" s="4" t="s">
        <v>460</v>
      </c>
      <c r="C25" s="8" t="str">
        <f>'AJE'!F22</f>
        <v>OK</v>
      </c>
      <c r="D25" s="4" t="s">
        <v>461</v>
      </c>
    </row>
    <row r="26" spans="2:4">
      <c r="B26" s="4" t="s">
        <v>462</v>
      </c>
      <c r="C26" s="8" t="str">
        <f>IF(AND('공시용BS'!D56="OK",'공시용BS'!E56="OK",'공시용BS'!F56="OK",'공시용BS'!D55="OK",'공시용BS'!E55="OK",'공시용BS'!F55="OK"),"OK","확인")</f>
        <v>OK</v>
      </c>
      <c r="D26" s="4" t="s">
        <v>463</v>
      </c>
    </row>
    <row r="27" spans="2:4">
      <c r="B27" s="4" t="s">
        <v>464</v>
      </c>
      <c r="C27" s="8" t="str">
        <f>IF(AND('공시용PL'!D43="OK",'공시용PL'!E43="OK",'공시용PL'!F43="OK"),"OK","확인")</f>
        <v>OK</v>
      </c>
      <c r="D27" s="4" t="s">
        <v>465</v>
      </c>
    </row>
    <row r="28" spans="2:4">
      <c r="B28" s="4" t="s">
        <v>466</v>
      </c>
      <c r="C28" s="8" t="str">
        <f>IF(AND('공시용자본변동표'!H17="OK",'공시용자본변동표'!H19="OK"),"OK","확인")</f>
        <v>OK</v>
      </c>
      <c r="D28" s="4" t="s">
        <v>467</v>
      </c>
    </row>
    <row r="29" spans="2:4">
      <c r="B29" s="4" t="s">
        <v>468</v>
      </c>
      <c r="C29" s="8" t="str">
        <f>IF(AND('CF정산표'!F38="OK",'CF정산표'!I36="OK"),"OK","확인")</f>
        <v>OK</v>
      </c>
      <c r="D29" s="4" t="s">
        <v>469</v>
      </c>
    </row>
    <row r="30" spans="2:4">
      <c r="B30" s="4" t="s">
        <v>470</v>
      </c>
      <c r="C30" s="8" t="str">
        <f>IF(AND('공시용CF'!C43="OK",'공시용CF'!D43="OK"),"OK","확인")</f>
        <v>OK</v>
      </c>
      <c r="D30" s="4" t="s">
        <v>471</v>
      </c>
    </row>
    <row r="32" spans="2:4">
      <c r="B32" s="5" t="s">
        <v>472</v>
      </c>
    </row>
    <row r="33" spans="2:4">
      <c r="B33" s="6" t="s">
        <v>472</v>
      </c>
      <c r="C33" s="6" t="s">
        <v>473</v>
      </c>
      <c r="D33" s="6"/>
    </row>
    <row r="34" spans="2:4" ht="26" customHeight="1">
      <c r="B34" s="3" t="s">
        <v>474</v>
      </c>
      <c r="C34" s="4" t="s">
        <v>475</v>
      </c>
      <c r="D34" s="4"/>
    </row>
    <row r="35" spans="2:4" ht="26" customHeight="1">
      <c r="B35" s="3" t="s">
        <v>476</v>
      </c>
      <c r="C35" s="4" t="s">
        <v>477</v>
      </c>
      <c r="D35" s="4"/>
    </row>
    <row r="36" spans="2:4" ht="26" customHeight="1">
      <c r="B36" s="3" t="s">
        <v>15</v>
      </c>
      <c r="C36" s="4" t="s">
        <v>478</v>
      </c>
      <c r="D36" s="4"/>
    </row>
    <row r="37" spans="2:4" ht="26" customHeight="1">
      <c r="B37" s="3" t="s">
        <v>479</v>
      </c>
      <c r="C37" s="4" t="s">
        <v>480</v>
      </c>
      <c r="D37" s="4"/>
    </row>
    <row r="38" spans="2:4" ht="26" customHeight="1">
      <c r="B38" s="3" t="s">
        <v>481</v>
      </c>
      <c r="C38" s="4" t="s">
        <v>482</v>
      </c>
      <c r="D38" s="4"/>
    </row>
    <row r="39" spans="2:4" ht="26" customHeight="1">
      <c r="B39" s="3" t="s">
        <v>483</v>
      </c>
      <c r="C39" s="4" t="s">
        <v>484</v>
      </c>
      <c r="D39" s="4"/>
    </row>
    <row r="41" spans="2:4">
      <c r="B41" s="5" t="s">
        <v>485</v>
      </c>
    </row>
    <row r="42" spans="2:4">
      <c r="B42" s="3" t="s">
        <v>486</v>
      </c>
      <c r="C42" s="4" t="s">
        <v>487</v>
      </c>
      <c r="D42" s="4"/>
    </row>
    <row r="43" spans="2:4">
      <c r="B43" s="3" t="s">
        <v>488</v>
      </c>
      <c r="C43" s="4" t="s">
        <v>489</v>
      </c>
      <c r="D43" s="4"/>
    </row>
    <row r="44" spans="2:4">
      <c r="B44" s="3" t="s">
        <v>490</v>
      </c>
      <c r="C44" s="4" t="s">
        <v>491</v>
      </c>
      <c r="D44" s="4"/>
    </row>
    <row r="45" spans="2:4">
      <c r="B45" s="3" t="s">
        <v>492</v>
      </c>
      <c r="C45" s="4" t="s">
        <v>493</v>
      </c>
      <c r="D45" s="4"/>
    </row>
    <row r="46" spans="2:4">
      <c r="B46" s="3" t="s">
        <v>494</v>
      </c>
      <c r="C46" s="4" t="s">
        <v>495</v>
      </c>
      <c r="D46" s="4"/>
    </row>
    <row r="47" spans="2:4">
      <c r="B47" s="3" t="s">
        <v>496</v>
      </c>
      <c r="C47" s="4" t="s">
        <v>497</v>
      </c>
      <c r="D47" s="4"/>
    </row>
    <row r="49" spans="2:4" ht="32" customHeight="1">
      <c r="B49" s="9" t="s">
        <v>498</v>
      </c>
      <c r="C49" s="9"/>
      <c r="D49" s="9"/>
    </row>
  </sheetData>
  <mergeCells count="23"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33:D33"/>
    <mergeCell ref="C34:D34"/>
    <mergeCell ref="C35:D35"/>
    <mergeCell ref="C36:D36"/>
    <mergeCell ref="C37:D37"/>
    <mergeCell ref="C38:D38"/>
    <mergeCell ref="C39:D39"/>
    <mergeCell ref="C42:D42"/>
    <mergeCell ref="C43:D43"/>
    <mergeCell ref="C44:D44"/>
    <mergeCell ref="C45:D45"/>
    <mergeCell ref="C46:D46"/>
    <mergeCell ref="C47:D47"/>
    <mergeCell ref="B49:D49"/>
  </mergeCells>
  <conditionalFormatting sqref="C22:C30">
    <cfRule type="cellIs" dxfId="0" priority="1" operator="notEqual">
      <formula>"OK"</formula>
    </cfRule>
  </conditionalFormatting>
  <pageMargins left="0.4" right="0.4" top="0.5" bottom="0.5" header="0.3" footer="0.3"/>
  <pageSetup paperSize="9" orientation="portrait"/>
  <headerFooter>
    <oddFooter>&amp;L&amp;8도담소프트(가상) 전기조서 WTB 2024&amp;C&amp;8&amp;A&amp;R&amp;8&amp;P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K63"/>
  <sheetViews>
    <sheetView showGridLines="0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18.7109375" customWidth="1"/>
    <col min="3" max="3" width="20.7109375" customWidth="1"/>
    <col min="4" max="4" width="6.7109375" customWidth="1"/>
    <col min="5" max="9" width="16.7109375" customWidth="1"/>
    <col min="10" max="10" width="6.7109375" customWidth="1"/>
    <col min="11" max="11" width="10.7109375" customWidth="1"/>
  </cols>
  <sheetData>
    <row r="1" spans="1:11">
      <c r="A1" s="1" t="s">
        <v>40</v>
      </c>
    </row>
    <row r="2" spans="1:11">
      <c r="A2" s="2" t="s">
        <v>41</v>
      </c>
    </row>
    <row r="4" spans="1:11" ht="30" customHeight="1">
      <c r="A4" s="6" t="s">
        <v>42</v>
      </c>
      <c r="B4" s="6" t="s">
        <v>13</v>
      </c>
      <c r="C4" s="6" t="s">
        <v>43</v>
      </c>
      <c r="D4" s="6" t="s">
        <v>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11</v>
      </c>
    </row>
    <row r="5" spans="1:11">
      <c r="A5" s="10">
        <v>10300</v>
      </c>
      <c r="B5" t="s">
        <v>50</v>
      </c>
      <c r="C5" t="s">
        <v>51</v>
      </c>
      <c r="D5" s="11" t="s">
        <v>52</v>
      </c>
      <c r="E5" s="12">
        <v>2769582606</v>
      </c>
      <c r="F5" s="13">
        <f>SUMIFS('AJE'!$F$6:$F$13,'AJE'!$I$6:$I$13,$A5)</f>
        <v>0</v>
      </c>
      <c r="G5" s="13">
        <f>SUMIFS('AJE'!$H$6:$H$13,'AJE'!$J$6:$J$13,$A5)</f>
        <v>0</v>
      </c>
      <c r="H5" s="14">
        <f>E5+F5-G5</f>
        <v>2769582606</v>
      </c>
      <c r="I5" s="15">
        <v>3645038600</v>
      </c>
      <c r="J5" s="11" t="s">
        <v>53</v>
      </c>
      <c r="K5" s="11" t="s">
        <v>29</v>
      </c>
    </row>
    <row r="6" spans="1:11">
      <c r="A6" s="10">
        <v>10500</v>
      </c>
      <c r="B6" t="s">
        <v>54</v>
      </c>
      <c r="C6" t="s">
        <v>55</v>
      </c>
      <c r="D6" s="11" t="s">
        <v>52</v>
      </c>
      <c r="E6" s="12">
        <v>3000000000</v>
      </c>
      <c r="F6" s="13">
        <f>SUMIFS('AJE'!$F$6:$F$13,'AJE'!$I$6:$I$13,$A6)</f>
        <v>0</v>
      </c>
      <c r="G6" s="13">
        <f>SUMIFS('AJE'!$H$6:$H$13,'AJE'!$J$6:$J$13,$A6)</f>
        <v>0</v>
      </c>
      <c r="H6" s="14">
        <f>E6+F6-G6</f>
        <v>3000000000</v>
      </c>
      <c r="I6" s="15">
        <v>3000000000</v>
      </c>
      <c r="J6" s="11" t="s">
        <v>53</v>
      </c>
      <c r="K6" s="11" t="s">
        <v>29</v>
      </c>
    </row>
    <row r="7" spans="1:11">
      <c r="A7" s="10">
        <v>10800</v>
      </c>
      <c r="B7" t="s">
        <v>56</v>
      </c>
      <c r="C7" t="s">
        <v>57</v>
      </c>
      <c r="D7" s="11" t="s">
        <v>52</v>
      </c>
      <c r="E7" s="12">
        <v>681160188</v>
      </c>
      <c r="F7" s="13">
        <f>SUMIFS('AJE'!$F$6:$F$13,'AJE'!$I$6:$I$13,$A7)</f>
        <v>0</v>
      </c>
      <c r="G7" s="13">
        <f>SUMIFS('AJE'!$H$6:$H$13,'AJE'!$J$6:$J$13,$A7)</f>
        <v>0</v>
      </c>
      <c r="H7" s="14">
        <f>E7+F7-G7</f>
        <v>681160188</v>
      </c>
      <c r="I7" s="15">
        <v>540152971</v>
      </c>
      <c r="J7" s="11" t="s">
        <v>53</v>
      </c>
      <c r="K7" s="11" t="s">
        <v>58</v>
      </c>
    </row>
    <row r="8" spans="1:11">
      <c r="A8" s="10">
        <v>11600</v>
      </c>
      <c r="B8" t="s">
        <v>30</v>
      </c>
      <c r="C8" t="s">
        <v>30</v>
      </c>
      <c r="D8" s="11" t="s">
        <v>52</v>
      </c>
      <c r="E8" s="12">
        <v>100032877</v>
      </c>
      <c r="F8" s="13">
        <f>SUMIFS('AJE'!$F$6:$F$13,'AJE'!$I$6:$I$13,$A8)</f>
        <v>3528767</v>
      </c>
      <c r="G8" s="13">
        <f>SUMIFS('AJE'!$H$6:$H$13,'AJE'!$J$6:$J$13,$A8)</f>
        <v>0</v>
      </c>
      <c r="H8" s="14">
        <f>E8+F8-G8</f>
        <v>103561644</v>
      </c>
      <c r="I8" s="15">
        <v>109002740</v>
      </c>
      <c r="J8" s="11" t="s">
        <v>53</v>
      </c>
      <c r="K8" s="11" t="s">
        <v>29</v>
      </c>
    </row>
    <row r="9" spans="1:11">
      <c r="A9" s="10">
        <v>13300</v>
      </c>
      <c r="B9" t="s">
        <v>25</v>
      </c>
      <c r="C9" t="s">
        <v>25</v>
      </c>
      <c r="D9" s="11" t="s">
        <v>52</v>
      </c>
      <c r="E9" s="12">
        <v>0</v>
      </c>
      <c r="F9" s="13">
        <f>SUMIFS('AJE'!$F$6:$F$13,'AJE'!$I$6:$I$13,$A9)</f>
        <v>45000000</v>
      </c>
      <c r="G9" s="13">
        <f>SUMIFS('AJE'!$H$6:$H$13,'AJE'!$J$6:$J$13,$A9)</f>
        <v>0</v>
      </c>
      <c r="H9" s="14">
        <f>E9+F9-G9</f>
        <v>45000000</v>
      </c>
      <c r="I9" s="15">
        <v>0</v>
      </c>
      <c r="J9" s="11" t="s">
        <v>53</v>
      </c>
      <c r="K9" s="11" t="s">
        <v>24</v>
      </c>
    </row>
    <row r="10" spans="1:11">
      <c r="A10" s="10">
        <v>13500</v>
      </c>
      <c r="B10" t="s">
        <v>59</v>
      </c>
      <c r="C10" t="s">
        <v>59</v>
      </c>
      <c r="D10" s="11" t="s">
        <v>52</v>
      </c>
      <c r="E10" s="12">
        <v>111738000</v>
      </c>
      <c r="F10" s="13">
        <f>SUMIFS('AJE'!$F$6:$F$13,'AJE'!$I$6:$I$13,$A10)</f>
        <v>0</v>
      </c>
      <c r="G10" s="13">
        <f>SUMIFS('AJE'!$H$6:$H$13,'AJE'!$J$6:$J$13,$A10)</f>
        <v>0</v>
      </c>
      <c r="H10" s="14">
        <f>E10+F10-G10</f>
        <v>111738000</v>
      </c>
      <c r="I10" s="15">
        <v>151000000</v>
      </c>
      <c r="J10" s="11" t="s">
        <v>53</v>
      </c>
      <c r="K10" s="11" t="s">
        <v>24</v>
      </c>
    </row>
    <row r="11" spans="1:11">
      <c r="A11" s="10">
        <v>13600</v>
      </c>
      <c r="B11" t="s">
        <v>60</v>
      </c>
      <c r="C11" t="s">
        <v>61</v>
      </c>
      <c r="D11" s="11" t="s">
        <v>52</v>
      </c>
      <c r="E11" s="12">
        <v>18609360</v>
      </c>
      <c r="F11" s="13">
        <f>SUMIFS('AJE'!$F$6:$F$13,'AJE'!$I$6:$I$13,$A11)</f>
        <v>0</v>
      </c>
      <c r="G11" s="13">
        <f>SUMIFS('AJE'!$H$6:$H$13,'AJE'!$J$6:$J$13,$A11)</f>
        <v>0</v>
      </c>
      <c r="H11" s="14">
        <f>E11+F11-G11</f>
        <v>18609360</v>
      </c>
      <c r="I11" s="15">
        <v>0</v>
      </c>
      <c r="J11" s="11" t="s">
        <v>53</v>
      </c>
      <c r="K11" s="11" t="s">
        <v>62</v>
      </c>
    </row>
    <row r="12" spans="1:11">
      <c r="A12" s="10">
        <v>17800</v>
      </c>
      <c r="B12" t="s">
        <v>38</v>
      </c>
      <c r="C12" t="s">
        <v>37</v>
      </c>
      <c r="D12" s="11" t="s">
        <v>52</v>
      </c>
      <c r="E12" s="12">
        <v>1180000000</v>
      </c>
      <c r="F12" s="13">
        <f>SUMIFS('AJE'!$F$6:$F$13,'AJE'!$I$6:$I$13,$A12)</f>
        <v>0</v>
      </c>
      <c r="G12" s="13">
        <f>SUMIFS('AJE'!$H$6:$H$13,'AJE'!$J$6:$J$13,$A12)</f>
        <v>1180000000</v>
      </c>
      <c r="H12" s="14">
        <f>E12+F12-G12</f>
        <v>0</v>
      </c>
      <c r="I12" s="15">
        <v>0</v>
      </c>
      <c r="J12" s="11" t="s">
        <v>53</v>
      </c>
      <c r="K12" s="11" t="s">
        <v>35</v>
      </c>
    </row>
    <row r="13" spans="1:11">
      <c r="A13" s="10">
        <v>18000</v>
      </c>
      <c r="B13" t="s">
        <v>37</v>
      </c>
      <c r="C13" t="s">
        <v>37</v>
      </c>
      <c r="D13" s="11" t="s">
        <v>52</v>
      </c>
      <c r="E13" s="12">
        <v>0</v>
      </c>
      <c r="F13" s="13">
        <f>SUMIFS('AJE'!$F$6:$F$13,'AJE'!$I$6:$I$13,$A13)</f>
        <v>1180000000</v>
      </c>
      <c r="G13" s="13">
        <f>SUMIFS('AJE'!$H$6:$H$13,'AJE'!$J$6:$J$13,$A13)</f>
        <v>0</v>
      </c>
      <c r="H13" s="14">
        <f>E13+F13-G13</f>
        <v>1180000000</v>
      </c>
      <c r="I13" s="15">
        <v>1180000000</v>
      </c>
      <c r="J13" s="11" t="s">
        <v>53</v>
      </c>
      <c r="K13" s="11" t="s">
        <v>35</v>
      </c>
    </row>
    <row r="14" spans="1:11">
      <c r="A14" s="10">
        <v>17900</v>
      </c>
      <c r="B14" t="s">
        <v>63</v>
      </c>
      <c r="C14" t="s">
        <v>63</v>
      </c>
      <c r="D14" s="11" t="s">
        <v>52</v>
      </c>
      <c r="E14" s="12">
        <v>60000000</v>
      </c>
      <c r="F14" s="13">
        <f>SUMIFS('AJE'!$F$6:$F$13,'AJE'!$I$6:$I$13,$A14)</f>
        <v>0</v>
      </c>
      <c r="G14" s="13">
        <f>SUMIFS('AJE'!$H$6:$H$13,'AJE'!$J$6:$J$13,$A14)</f>
        <v>0</v>
      </c>
      <c r="H14" s="14">
        <f>E14+F14-G14</f>
        <v>60000000</v>
      </c>
      <c r="I14" s="15">
        <v>60000000</v>
      </c>
      <c r="J14" s="11" t="s">
        <v>53</v>
      </c>
      <c r="K14" s="11" t="s">
        <v>35</v>
      </c>
    </row>
    <row r="15" spans="1:11">
      <c r="A15" s="10">
        <v>21200</v>
      </c>
      <c r="B15" t="s">
        <v>64</v>
      </c>
      <c r="C15" t="s">
        <v>64</v>
      </c>
      <c r="D15" s="11" t="s">
        <v>52</v>
      </c>
      <c r="E15" s="12">
        <v>1245000000</v>
      </c>
      <c r="F15" s="13">
        <f>SUMIFS('AJE'!$F$6:$F$13,'AJE'!$I$6:$I$13,$A15)</f>
        <v>0</v>
      </c>
      <c r="G15" s="13">
        <f>SUMIFS('AJE'!$H$6:$H$13,'AJE'!$J$6:$J$13,$A15)</f>
        <v>0</v>
      </c>
      <c r="H15" s="14">
        <f>E15+F15-G15</f>
        <v>1245000000</v>
      </c>
      <c r="I15" s="15">
        <v>1130900000</v>
      </c>
      <c r="J15" s="11" t="s">
        <v>53</v>
      </c>
      <c r="K15" s="11" t="s">
        <v>65</v>
      </c>
    </row>
    <row r="16" spans="1:11">
      <c r="A16" s="10">
        <v>21300</v>
      </c>
      <c r="B16" t="s">
        <v>66</v>
      </c>
      <c r="C16" t="s">
        <v>67</v>
      </c>
      <c r="D16" s="11" t="s">
        <v>52</v>
      </c>
      <c r="E16" s="12">
        <v>-771043482</v>
      </c>
      <c r="F16" s="13">
        <f>SUMIFS('AJE'!$F$6:$F$13,'AJE'!$I$6:$I$13,$A16)</f>
        <v>0</v>
      </c>
      <c r="G16" s="13">
        <f>SUMIFS('AJE'!$H$6:$H$13,'AJE'!$J$6:$J$13,$A16)</f>
        <v>0</v>
      </c>
      <c r="H16" s="14">
        <f>E16+F16-G16</f>
        <v>-771043482</v>
      </c>
      <c r="I16" s="15">
        <v>-493333152</v>
      </c>
      <c r="J16" s="11" t="s">
        <v>53</v>
      </c>
      <c r="K16" s="11" t="s">
        <v>65</v>
      </c>
    </row>
    <row r="17" spans="1:11">
      <c r="A17" s="10">
        <v>22100</v>
      </c>
      <c r="B17" t="s">
        <v>68</v>
      </c>
      <c r="C17" t="s">
        <v>68</v>
      </c>
      <c r="D17" s="11" t="s">
        <v>52</v>
      </c>
      <c r="E17" s="12">
        <v>798000000</v>
      </c>
      <c r="F17" s="13">
        <f>SUMIFS('AJE'!$F$6:$F$13,'AJE'!$I$6:$I$13,$A17)</f>
        <v>0</v>
      </c>
      <c r="G17" s="13">
        <f>SUMIFS('AJE'!$H$6:$H$13,'AJE'!$J$6:$J$13,$A17)</f>
        <v>0</v>
      </c>
      <c r="H17" s="14">
        <f>E17+F17-G17</f>
        <v>798000000</v>
      </c>
      <c r="I17" s="15">
        <v>798000000</v>
      </c>
      <c r="J17" s="11" t="s">
        <v>53</v>
      </c>
      <c r="K17" s="11" t="s">
        <v>65</v>
      </c>
    </row>
    <row r="18" spans="1:11">
      <c r="A18" s="10">
        <v>22200</v>
      </c>
      <c r="B18" t="s">
        <v>66</v>
      </c>
      <c r="C18" t="s">
        <v>69</v>
      </c>
      <c r="D18" s="11" t="s">
        <v>52</v>
      </c>
      <c r="E18" s="12">
        <v>-396766639</v>
      </c>
      <c r="F18" s="13">
        <f>SUMIFS('AJE'!$F$6:$F$13,'AJE'!$I$6:$I$13,$A18)</f>
        <v>0</v>
      </c>
      <c r="G18" s="13">
        <f>SUMIFS('AJE'!$H$6:$H$13,'AJE'!$J$6:$J$13,$A18)</f>
        <v>0</v>
      </c>
      <c r="H18" s="14">
        <f>E18+F18-G18</f>
        <v>-396766639</v>
      </c>
      <c r="I18" s="15">
        <v>-237166651</v>
      </c>
      <c r="J18" s="11" t="s">
        <v>53</v>
      </c>
      <c r="K18" s="11" t="s">
        <v>65</v>
      </c>
    </row>
    <row r="19" spans="1:11">
      <c r="A19" s="10">
        <v>24000</v>
      </c>
      <c r="B19" t="s">
        <v>70</v>
      </c>
      <c r="C19" t="s">
        <v>70</v>
      </c>
      <c r="D19" s="11" t="s">
        <v>52</v>
      </c>
      <c r="E19" s="12">
        <v>119200000</v>
      </c>
      <c r="F19" s="13">
        <f>SUMIFS('AJE'!$F$6:$F$13,'AJE'!$I$6:$I$13,$A19)</f>
        <v>0</v>
      </c>
      <c r="G19" s="13">
        <f>SUMIFS('AJE'!$H$6:$H$13,'AJE'!$J$6:$J$13,$A19)</f>
        <v>0</v>
      </c>
      <c r="H19" s="14">
        <f>E19+F19-G19</f>
        <v>119200000</v>
      </c>
      <c r="I19" s="15">
        <v>104400000</v>
      </c>
      <c r="J19" s="11" t="s">
        <v>53</v>
      </c>
      <c r="K19" s="11" t="s">
        <v>71</v>
      </c>
    </row>
    <row r="20" spans="1:11">
      <c r="A20" s="10">
        <v>23200</v>
      </c>
      <c r="B20" t="s">
        <v>72</v>
      </c>
      <c r="C20" t="s">
        <v>72</v>
      </c>
      <c r="D20" s="11" t="s">
        <v>52</v>
      </c>
      <c r="E20" s="12">
        <v>41183341</v>
      </c>
      <c r="F20" s="13">
        <f>SUMIFS('AJE'!$F$6:$F$13,'AJE'!$I$6:$I$13,$A20)</f>
        <v>0</v>
      </c>
      <c r="G20" s="13">
        <f>SUMIFS('AJE'!$H$6:$H$13,'AJE'!$J$6:$J$13,$A20)</f>
        <v>0</v>
      </c>
      <c r="H20" s="14">
        <f>E20+F20-G20</f>
        <v>41183341</v>
      </c>
      <c r="I20" s="15">
        <v>46983337</v>
      </c>
      <c r="J20" s="11" t="s">
        <v>53</v>
      </c>
      <c r="K20" s="11" t="s">
        <v>71</v>
      </c>
    </row>
    <row r="21" spans="1:11">
      <c r="A21" s="10">
        <v>18300</v>
      </c>
      <c r="B21" t="s">
        <v>73</v>
      </c>
      <c r="C21" t="s">
        <v>73</v>
      </c>
      <c r="D21" s="11" t="s">
        <v>52</v>
      </c>
      <c r="E21" s="12">
        <v>380000000</v>
      </c>
      <c r="F21" s="13">
        <f>SUMIFS('AJE'!$F$6:$F$13,'AJE'!$I$6:$I$13,$A21)</f>
        <v>0</v>
      </c>
      <c r="G21" s="13">
        <f>SUMIFS('AJE'!$H$6:$H$13,'AJE'!$J$6:$J$13,$A21)</f>
        <v>0</v>
      </c>
      <c r="H21" s="14">
        <f>E21+F21-G21</f>
        <v>380000000</v>
      </c>
      <c r="I21" s="15">
        <v>380000000</v>
      </c>
      <c r="J21" s="11" t="s">
        <v>53</v>
      </c>
      <c r="K21" s="11" t="s">
        <v>35</v>
      </c>
    </row>
    <row r="22" spans="1:11">
      <c r="A22" s="10">
        <v>25100</v>
      </c>
      <c r="B22" t="s">
        <v>74</v>
      </c>
      <c r="C22" t="s">
        <v>75</v>
      </c>
      <c r="D22" s="11" t="s">
        <v>76</v>
      </c>
      <c r="E22" s="12">
        <v>-228536000</v>
      </c>
      <c r="F22" s="13">
        <f>SUMIFS('AJE'!$F$6:$F$13,'AJE'!$I$6:$I$13,$A22)</f>
        <v>0</v>
      </c>
      <c r="G22" s="13">
        <f>SUMIFS('AJE'!$H$6:$H$13,'AJE'!$J$6:$J$13,$A22)</f>
        <v>0</v>
      </c>
      <c r="H22" s="14">
        <f>E22+F22-G22</f>
        <v>-228536000</v>
      </c>
      <c r="I22" s="15">
        <v>-176000000</v>
      </c>
      <c r="J22" s="11" t="s">
        <v>53</v>
      </c>
      <c r="K22" s="11" t="s">
        <v>18</v>
      </c>
    </row>
    <row r="23" spans="1:11">
      <c r="A23" s="10">
        <v>25300</v>
      </c>
      <c r="B23" t="s">
        <v>77</v>
      </c>
      <c r="C23" t="s">
        <v>77</v>
      </c>
      <c r="D23" s="11" t="s">
        <v>76</v>
      </c>
      <c r="E23" s="12">
        <v>-149096000</v>
      </c>
      <c r="F23" s="13">
        <f>SUMIFS('AJE'!$F$6:$F$13,'AJE'!$I$6:$I$13,$A23)</f>
        <v>0</v>
      </c>
      <c r="G23" s="13">
        <f>SUMIFS('AJE'!$H$6:$H$13,'AJE'!$J$6:$J$13,$A23)</f>
        <v>0</v>
      </c>
      <c r="H23" s="14">
        <f>E23+F23-G23</f>
        <v>-149096000</v>
      </c>
      <c r="I23" s="15">
        <v>-119600000</v>
      </c>
      <c r="J23" s="11" t="s">
        <v>53</v>
      </c>
      <c r="K23" s="11" t="s">
        <v>78</v>
      </c>
    </row>
    <row r="24" spans="1:11">
      <c r="A24" s="10">
        <v>25400</v>
      </c>
      <c r="B24" t="s">
        <v>79</v>
      </c>
      <c r="C24" t="s">
        <v>79</v>
      </c>
      <c r="D24" s="11" t="s">
        <v>76</v>
      </c>
      <c r="E24" s="12">
        <v>-188039650</v>
      </c>
      <c r="F24" s="13">
        <f>SUMIFS('AJE'!$F$6:$F$13,'AJE'!$I$6:$I$13,$A24)</f>
        <v>0</v>
      </c>
      <c r="G24" s="13">
        <f>SUMIFS('AJE'!$H$6:$H$13,'AJE'!$J$6:$J$13,$A24)</f>
        <v>0</v>
      </c>
      <c r="H24" s="14">
        <f>E24+F24-G24</f>
        <v>-188039650</v>
      </c>
      <c r="I24" s="15">
        <v>-151620000</v>
      </c>
      <c r="J24" s="11" t="s">
        <v>53</v>
      </c>
      <c r="K24" s="11" t="s">
        <v>78</v>
      </c>
    </row>
    <row r="25" spans="1:11">
      <c r="A25" s="10">
        <v>25500</v>
      </c>
      <c r="B25" t="s">
        <v>80</v>
      </c>
      <c r="C25" t="s">
        <v>80</v>
      </c>
      <c r="D25" s="11" t="s">
        <v>76</v>
      </c>
      <c r="E25" s="12">
        <v>-389788078</v>
      </c>
      <c r="F25" s="13">
        <f>SUMIFS('AJE'!$F$6:$F$13,'AJE'!$I$6:$I$13,$A25)</f>
        <v>0</v>
      </c>
      <c r="G25" s="13">
        <f>SUMIFS('AJE'!$H$6:$H$13,'AJE'!$J$6:$J$13,$A25)</f>
        <v>0</v>
      </c>
      <c r="H25" s="14">
        <f>E25+F25-G25</f>
        <v>-389788078</v>
      </c>
      <c r="I25" s="15">
        <v>-414939340</v>
      </c>
      <c r="J25" s="11" t="s">
        <v>53</v>
      </c>
      <c r="K25" s="11" t="s">
        <v>78</v>
      </c>
    </row>
    <row r="26" spans="1:11">
      <c r="A26" s="10">
        <v>25900</v>
      </c>
      <c r="B26" t="s">
        <v>81</v>
      </c>
      <c r="C26" t="s">
        <v>81</v>
      </c>
      <c r="D26" s="11" t="s">
        <v>76</v>
      </c>
      <c r="E26" s="12">
        <v>-554533357</v>
      </c>
      <c r="F26" s="13">
        <f>SUMIFS('AJE'!$F$6:$F$13,'AJE'!$I$6:$I$13,$A26)</f>
        <v>0</v>
      </c>
      <c r="G26" s="13">
        <f>SUMIFS('AJE'!$H$6:$H$13,'AJE'!$J$6:$J$13,$A26)</f>
        <v>0</v>
      </c>
      <c r="H26" s="14">
        <f>E26+F26-G26</f>
        <v>-554533357</v>
      </c>
      <c r="I26" s="15">
        <v>-477191701</v>
      </c>
      <c r="J26" s="11" t="s">
        <v>53</v>
      </c>
      <c r="K26" s="11" t="s">
        <v>82</v>
      </c>
    </row>
    <row r="27" spans="1:11">
      <c r="A27" s="10">
        <v>26000</v>
      </c>
      <c r="B27" t="s">
        <v>83</v>
      </c>
      <c r="C27" t="s">
        <v>83</v>
      </c>
      <c r="D27" s="11" t="s">
        <v>76</v>
      </c>
      <c r="E27" s="12">
        <v>-2000000000</v>
      </c>
      <c r="F27" s="13">
        <f>SUMIFS('AJE'!$F$6:$F$13,'AJE'!$I$6:$I$13,$A27)</f>
        <v>0</v>
      </c>
      <c r="G27" s="13">
        <f>SUMIFS('AJE'!$H$6:$H$13,'AJE'!$J$6:$J$13,$A27)</f>
        <v>0</v>
      </c>
      <c r="H27" s="14">
        <f>E27+F27-G27</f>
        <v>-2000000000</v>
      </c>
      <c r="I27" s="15">
        <v>-2000000000</v>
      </c>
      <c r="J27" s="11" t="s">
        <v>53</v>
      </c>
      <c r="K27" s="11" t="s">
        <v>84</v>
      </c>
    </row>
    <row r="28" spans="1:11">
      <c r="A28" s="10">
        <v>26200</v>
      </c>
      <c r="B28" t="s">
        <v>21</v>
      </c>
      <c r="C28" t="s">
        <v>21</v>
      </c>
      <c r="D28" s="11" t="s">
        <v>76</v>
      </c>
      <c r="E28" s="12">
        <v>0</v>
      </c>
      <c r="F28" s="13">
        <f>SUMIFS('AJE'!$F$6:$F$13,'AJE'!$I$6:$I$13,$A28)</f>
        <v>0</v>
      </c>
      <c r="G28" s="13">
        <f>SUMIFS('AJE'!$H$6:$H$13,'AJE'!$J$6:$J$13,$A28)</f>
        <v>38400000</v>
      </c>
      <c r="H28" s="14">
        <f>E28+F28-G28</f>
        <v>-38400000</v>
      </c>
      <c r="I28" s="15">
        <v>0</v>
      </c>
      <c r="J28" s="11" t="s">
        <v>53</v>
      </c>
      <c r="K28" s="11" t="s">
        <v>78</v>
      </c>
    </row>
    <row r="29" spans="1:11">
      <c r="A29" s="10">
        <v>29300</v>
      </c>
      <c r="B29" t="s">
        <v>85</v>
      </c>
      <c r="C29" t="s">
        <v>85</v>
      </c>
      <c r="D29" s="11" t="s">
        <v>76</v>
      </c>
      <c r="E29" s="12">
        <v>-3000000000</v>
      </c>
      <c r="F29" s="13">
        <f>SUMIFS('AJE'!$F$6:$F$13,'AJE'!$I$6:$I$13,$A29)</f>
        <v>0</v>
      </c>
      <c r="G29" s="13">
        <f>SUMIFS('AJE'!$H$6:$H$13,'AJE'!$J$6:$J$13,$A29)</f>
        <v>0</v>
      </c>
      <c r="H29" s="14">
        <f>E29+F29-G29</f>
        <v>-3000000000</v>
      </c>
      <c r="I29" s="15">
        <v>-3000000000</v>
      </c>
      <c r="J29" s="11" t="s">
        <v>53</v>
      </c>
      <c r="K29" s="11" t="s">
        <v>84</v>
      </c>
    </row>
    <row r="30" spans="1:11">
      <c r="A30" s="10">
        <v>33100</v>
      </c>
      <c r="B30" t="s">
        <v>86</v>
      </c>
      <c r="C30" t="s">
        <v>86</v>
      </c>
      <c r="D30" s="11" t="s">
        <v>87</v>
      </c>
      <c r="E30" s="12">
        <v>-200000000</v>
      </c>
      <c r="F30" s="13">
        <f>SUMIFS('AJE'!$F$6:$F$13,'AJE'!$I$6:$I$13,$A30)</f>
        <v>0</v>
      </c>
      <c r="G30" s="13">
        <f>SUMIFS('AJE'!$H$6:$H$13,'AJE'!$J$6:$J$13,$A30)</f>
        <v>0</v>
      </c>
      <c r="H30" s="14">
        <f>E30+F30-G30</f>
        <v>-200000000</v>
      </c>
      <c r="I30" s="15">
        <v>-200000000</v>
      </c>
      <c r="J30" s="11" t="s">
        <v>53</v>
      </c>
      <c r="K30" s="11" t="s">
        <v>88</v>
      </c>
    </row>
    <row r="31" spans="1:11">
      <c r="A31" s="10">
        <v>33200</v>
      </c>
      <c r="B31" t="s">
        <v>89</v>
      </c>
      <c r="C31" t="s">
        <v>89</v>
      </c>
      <c r="D31" s="11" t="s">
        <v>87</v>
      </c>
      <c r="E31" s="12">
        <v>-165000000</v>
      </c>
      <c r="F31" s="13">
        <f>SUMIFS('AJE'!$F$6:$F$13,'AJE'!$I$6:$I$13,$A31)</f>
        <v>0</v>
      </c>
      <c r="G31" s="13">
        <f>SUMIFS('AJE'!$H$6:$H$13,'AJE'!$J$6:$J$13,$A31)</f>
        <v>0</v>
      </c>
      <c r="H31" s="14">
        <f>E31+F31-G31</f>
        <v>-165000000</v>
      </c>
      <c r="I31" s="15">
        <v>-150000000</v>
      </c>
      <c r="J31" s="11" t="s">
        <v>53</v>
      </c>
      <c r="K31" s="11" t="s">
        <v>88</v>
      </c>
    </row>
    <row r="32" spans="1:11">
      <c r="A32" s="10">
        <v>34100</v>
      </c>
      <c r="B32" t="s">
        <v>90</v>
      </c>
      <c r="C32" t="s">
        <v>90</v>
      </c>
      <c r="D32" s="11" t="s">
        <v>87</v>
      </c>
      <c r="E32" s="12">
        <v>-29785000000</v>
      </c>
      <c r="F32" s="13">
        <f>SUMIFS('AJE'!$F$6:$F$13,'AJE'!$I$6:$I$13,$A32)</f>
        <v>0</v>
      </c>
      <c r="G32" s="13">
        <f>SUMIFS('AJE'!$H$6:$H$13,'AJE'!$J$6:$J$13,$A32)</f>
        <v>0</v>
      </c>
      <c r="H32" s="14">
        <f>E32+F32-G32</f>
        <v>-29785000000</v>
      </c>
      <c r="I32" s="15">
        <v>-26800000000</v>
      </c>
      <c r="J32" s="11" t="s">
        <v>53</v>
      </c>
      <c r="K32" s="11" t="s">
        <v>88</v>
      </c>
    </row>
    <row r="33" spans="1:11">
      <c r="A33" s="10">
        <v>38900</v>
      </c>
      <c r="B33" t="s">
        <v>91</v>
      </c>
      <c r="C33" t="s">
        <v>91</v>
      </c>
      <c r="D33" s="11" t="s">
        <v>87</v>
      </c>
      <c r="E33" s="12">
        <v>-420000000</v>
      </c>
      <c r="F33" s="13">
        <f>SUMIFS('AJE'!$F$6:$F$13,'AJE'!$I$6:$I$13,$A33)</f>
        <v>0</v>
      </c>
      <c r="G33" s="13">
        <f>SUMIFS('AJE'!$H$6:$H$13,'AJE'!$J$6:$J$13,$A33)</f>
        <v>0</v>
      </c>
      <c r="H33" s="14">
        <f>E33+F33-G33</f>
        <v>-420000000</v>
      </c>
      <c r="I33" s="15">
        <v>-240000000</v>
      </c>
      <c r="J33" s="11" t="s">
        <v>53</v>
      </c>
      <c r="K33" s="11" t="s">
        <v>88</v>
      </c>
    </row>
    <row r="34" spans="1:11">
      <c r="A34" s="10">
        <v>37700</v>
      </c>
      <c r="B34" t="s">
        <v>92</v>
      </c>
      <c r="C34" t="s">
        <v>92</v>
      </c>
      <c r="D34" s="11" t="s">
        <v>87</v>
      </c>
      <c r="E34" s="12">
        <v>23314373196</v>
      </c>
      <c r="F34" s="13">
        <f>SUMIFS('AJE'!$F$6:$F$13,'AJE'!$I$6:$I$13,$A34)</f>
        <v>0</v>
      </c>
      <c r="G34" s="13">
        <f>SUMIFS('AJE'!$H$6:$H$13,'AJE'!$J$6:$J$13,$A34)</f>
        <v>0</v>
      </c>
      <c r="H34" s="14">
        <f>E34+F34-G34</f>
        <v>23314373196</v>
      </c>
      <c r="I34" s="15">
        <v>19694151945</v>
      </c>
      <c r="J34" s="11" t="s">
        <v>53</v>
      </c>
      <c r="K34" s="11" t="s">
        <v>88</v>
      </c>
    </row>
    <row r="35" spans="1:11">
      <c r="A35" s="10">
        <v>41501</v>
      </c>
      <c r="B35" t="s">
        <v>93</v>
      </c>
      <c r="C35" t="s">
        <v>93</v>
      </c>
      <c r="D35" s="11" t="s">
        <v>94</v>
      </c>
      <c r="E35" s="12">
        <v>-8175103384</v>
      </c>
      <c r="F35" s="13">
        <f>SUMIFS('AJE'!$F$6:$F$13,'AJE'!$I$6:$I$13,$A35)</f>
        <v>0</v>
      </c>
      <c r="G35" s="13">
        <f>SUMIFS('AJE'!$H$6:$H$13,'AJE'!$J$6:$J$13,$A35)</f>
        <v>0</v>
      </c>
      <c r="H35" s="14">
        <f>E35+F35-G35</f>
        <v>-8175103384</v>
      </c>
      <c r="I35" s="15">
        <v>-7008516131</v>
      </c>
      <c r="J35" s="11" t="s">
        <v>53</v>
      </c>
      <c r="K35" s="11" t="s">
        <v>82</v>
      </c>
    </row>
    <row r="36" spans="1:11">
      <c r="A36" s="10">
        <v>41502</v>
      </c>
      <c r="B36" t="s">
        <v>95</v>
      </c>
      <c r="C36" t="s">
        <v>95</v>
      </c>
      <c r="D36" s="11" t="s">
        <v>94</v>
      </c>
      <c r="E36" s="12">
        <v>-1815443884</v>
      </c>
      <c r="F36" s="13">
        <f>SUMIFS('AJE'!$F$6:$F$13,'AJE'!$I$6:$I$13,$A36)</f>
        <v>0</v>
      </c>
      <c r="G36" s="13">
        <f>SUMIFS('AJE'!$H$6:$H$13,'AJE'!$J$6:$J$13,$A36)</f>
        <v>0</v>
      </c>
      <c r="H36" s="14">
        <f>E36+F36-G36</f>
        <v>-1815443884</v>
      </c>
      <c r="I36" s="15">
        <v>-1517892631</v>
      </c>
      <c r="J36" s="11" t="s">
        <v>53</v>
      </c>
      <c r="K36" s="11" t="s">
        <v>82</v>
      </c>
    </row>
    <row r="37" spans="1:11">
      <c r="A37" s="10">
        <v>45200</v>
      </c>
      <c r="B37" t="s">
        <v>20</v>
      </c>
      <c r="C37" t="s">
        <v>20</v>
      </c>
      <c r="D37" s="11" t="s">
        <v>96</v>
      </c>
      <c r="E37" s="12">
        <v>2363760000</v>
      </c>
      <c r="F37" s="13">
        <f>SUMIFS('AJE'!$F$6:$F$13,'AJE'!$I$6:$I$13,$A37)</f>
        <v>38400000</v>
      </c>
      <c r="G37" s="13">
        <f>SUMIFS('AJE'!$H$6:$H$13,'AJE'!$J$6:$J$13,$A37)</f>
        <v>0</v>
      </c>
      <c r="H37" s="14">
        <f>E37+F37-G37</f>
        <v>2402160000</v>
      </c>
      <c r="I37" s="15">
        <v>1973374440</v>
      </c>
      <c r="J37" s="11" t="s">
        <v>53</v>
      </c>
      <c r="K37" s="11" t="s">
        <v>97</v>
      </c>
    </row>
    <row r="38" spans="1:11">
      <c r="A38" s="10">
        <v>80200</v>
      </c>
      <c r="B38" t="s">
        <v>98</v>
      </c>
      <c r="C38" t="s">
        <v>99</v>
      </c>
      <c r="D38" s="11" t="s">
        <v>96</v>
      </c>
      <c r="E38" s="12">
        <v>3609528000</v>
      </c>
      <c r="F38" s="13">
        <f>SUMIFS('AJE'!$F$6:$F$13,'AJE'!$I$6:$I$13,$A38)</f>
        <v>0</v>
      </c>
      <c r="G38" s="13">
        <f>SUMIFS('AJE'!$H$6:$H$13,'AJE'!$J$6:$J$13,$A38)</f>
        <v>0</v>
      </c>
      <c r="H38" s="14">
        <f>E38+F38-G38</f>
        <v>3609528000</v>
      </c>
      <c r="I38" s="15">
        <v>3108525513</v>
      </c>
      <c r="J38" s="11" t="s">
        <v>53</v>
      </c>
      <c r="K38" s="11" t="s">
        <v>100</v>
      </c>
    </row>
    <row r="39" spans="1:11">
      <c r="A39" s="10">
        <v>80300</v>
      </c>
      <c r="B39" t="s">
        <v>101</v>
      </c>
      <c r="C39" t="s">
        <v>101</v>
      </c>
      <c r="D39" s="11" t="s">
        <v>96</v>
      </c>
      <c r="E39" s="12">
        <v>240000000</v>
      </c>
      <c r="F39" s="13">
        <f>SUMIFS('AJE'!$F$6:$F$13,'AJE'!$I$6:$I$13,$A39)</f>
        <v>0</v>
      </c>
      <c r="G39" s="13">
        <f>SUMIFS('AJE'!$H$6:$H$13,'AJE'!$J$6:$J$13,$A39)</f>
        <v>0</v>
      </c>
      <c r="H39" s="14">
        <f>E39+F39-G39</f>
        <v>240000000</v>
      </c>
      <c r="I39" s="15">
        <v>186000000</v>
      </c>
      <c r="J39" s="11" t="s">
        <v>53</v>
      </c>
      <c r="K39" s="11" t="s">
        <v>100</v>
      </c>
    </row>
    <row r="40" spans="1:11">
      <c r="A40" s="10">
        <v>80600</v>
      </c>
      <c r="B40" t="s">
        <v>102</v>
      </c>
      <c r="C40" t="s">
        <v>102</v>
      </c>
      <c r="D40" s="11" t="s">
        <v>96</v>
      </c>
      <c r="E40" s="12">
        <v>300793996</v>
      </c>
      <c r="F40" s="13">
        <f>SUMIFS('AJE'!$F$6:$F$13,'AJE'!$I$6:$I$13,$A40)</f>
        <v>0</v>
      </c>
      <c r="G40" s="13">
        <f>SUMIFS('AJE'!$H$6:$H$13,'AJE'!$J$6:$J$13,$A40)</f>
        <v>0</v>
      </c>
      <c r="H40" s="14">
        <f>E40+F40-G40</f>
        <v>300793996</v>
      </c>
      <c r="I40" s="15">
        <v>259043789</v>
      </c>
      <c r="J40" s="11" t="s">
        <v>53</v>
      </c>
      <c r="K40" s="11" t="s">
        <v>100</v>
      </c>
    </row>
    <row r="41" spans="1:11">
      <c r="A41" s="10">
        <v>81100</v>
      </c>
      <c r="B41" t="s">
        <v>103</v>
      </c>
      <c r="C41" t="s">
        <v>103</v>
      </c>
      <c r="D41" s="11" t="s">
        <v>96</v>
      </c>
      <c r="E41" s="12">
        <v>597765320</v>
      </c>
      <c r="F41" s="13">
        <f>SUMIFS('AJE'!$F$6:$F$13,'AJE'!$I$6:$I$13,$A41)</f>
        <v>0</v>
      </c>
      <c r="G41" s="13">
        <f>SUMIFS('AJE'!$H$6:$H$13,'AJE'!$J$6:$J$13,$A41)</f>
        <v>0</v>
      </c>
      <c r="H41" s="14">
        <f>E41+F41-G41</f>
        <v>597765320</v>
      </c>
      <c r="I41" s="15">
        <v>504334600</v>
      </c>
      <c r="J41" s="11" t="s">
        <v>53</v>
      </c>
      <c r="K41" s="11" t="s">
        <v>100</v>
      </c>
    </row>
    <row r="42" spans="1:11">
      <c r="A42" s="10">
        <v>81200</v>
      </c>
      <c r="B42" t="s">
        <v>104</v>
      </c>
      <c r="C42" t="s">
        <v>104</v>
      </c>
      <c r="D42" s="11" t="s">
        <v>96</v>
      </c>
      <c r="E42" s="12">
        <v>120960000</v>
      </c>
      <c r="F42" s="13">
        <f>SUMIFS('AJE'!$F$6:$F$13,'AJE'!$I$6:$I$13,$A42)</f>
        <v>0</v>
      </c>
      <c r="G42" s="13">
        <f>SUMIFS('AJE'!$H$6:$H$13,'AJE'!$J$6:$J$13,$A42)</f>
        <v>0</v>
      </c>
      <c r="H42" s="14">
        <f>E42+F42-G42</f>
        <v>120960000</v>
      </c>
      <c r="I42" s="15">
        <v>99078336</v>
      </c>
      <c r="J42" s="11" t="s">
        <v>53</v>
      </c>
      <c r="K42" s="11" t="s">
        <v>100</v>
      </c>
    </row>
    <row r="43" spans="1:11">
      <c r="A43" s="10">
        <v>81300</v>
      </c>
      <c r="B43" t="s">
        <v>105</v>
      </c>
      <c r="C43" t="s">
        <v>105</v>
      </c>
      <c r="D43" s="11" t="s">
        <v>96</v>
      </c>
      <c r="E43" s="12">
        <v>60480000</v>
      </c>
      <c r="F43" s="13">
        <f>SUMIFS('AJE'!$F$6:$F$13,'AJE'!$I$6:$I$13,$A43)</f>
        <v>0</v>
      </c>
      <c r="G43" s="13">
        <f>SUMIFS('AJE'!$H$6:$H$13,'AJE'!$J$6:$J$13,$A43)</f>
        <v>0</v>
      </c>
      <c r="H43" s="14">
        <f>E43+F43-G43</f>
        <v>60480000</v>
      </c>
      <c r="I43" s="15">
        <v>50004864</v>
      </c>
      <c r="J43" s="11" t="s">
        <v>53</v>
      </c>
      <c r="K43" s="11" t="s">
        <v>100</v>
      </c>
    </row>
    <row r="44" spans="1:11">
      <c r="A44" s="10">
        <v>81400</v>
      </c>
      <c r="B44" t="s">
        <v>106</v>
      </c>
      <c r="C44" t="s">
        <v>106</v>
      </c>
      <c r="D44" s="11" t="s">
        <v>96</v>
      </c>
      <c r="E44" s="12">
        <v>60480000</v>
      </c>
      <c r="F44" s="13">
        <f>SUMIFS('AJE'!$F$6:$F$13,'AJE'!$I$6:$I$13,$A44)</f>
        <v>0</v>
      </c>
      <c r="G44" s="13">
        <f>SUMIFS('AJE'!$H$6:$H$13,'AJE'!$J$6:$J$13,$A44)</f>
        <v>0</v>
      </c>
      <c r="H44" s="14">
        <f>E44+F44-G44</f>
        <v>60480000</v>
      </c>
      <c r="I44" s="15">
        <v>54643680</v>
      </c>
      <c r="J44" s="11" t="s">
        <v>53</v>
      </c>
      <c r="K44" s="11" t="s">
        <v>100</v>
      </c>
    </row>
    <row r="45" spans="1:11">
      <c r="A45" s="10">
        <v>81700</v>
      </c>
      <c r="B45" t="s">
        <v>107</v>
      </c>
      <c r="C45" t="s">
        <v>107</v>
      </c>
      <c r="D45" s="11" t="s">
        <v>96</v>
      </c>
      <c r="E45" s="12">
        <v>330632820</v>
      </c>
      <c r="F45" s="13">
        <f>SUMIFS('AJE'!$F$6:$F$13,'AJE'!$I$6:$I$13,$A45)</f>
        <v>0</v>
      </c>
      <c r="G45" s="13">
        <f>SUMIFS('AJE'!$H$6:$H$13,'AJE'!$J$6:$J$13,$A45)</f>
        <v>0</v>
      </c>
      <c r="H45" s="14">
        <f>E45+F45-G45</f>
        <v>330632820</v>
      </c>
      <c r="I45" s="15">
        <v>282988630</v>
      </c>
      <c r="J45" s="11" t="s">
        <v>53</v>
      </c>
      <c r="K45" s="11" t="s">
        <v>100</v>
      </c>
    </row>
    <row r="46" spans="1:11">
      <c r="A46" s="10">
        <v>81800</v>
      </c>
      <c r="B46" t="s">
        <v>108</v>
      </c>
      <c r="C46" t="s">
        <v>108</v>
      </c>
      <c r="D46" s="11" t="s">
        <v>96</v>
      </c>
      <c r="E46" s="12">
        <v>437310318</v>
      </c>
      <c r="F46" s="13">
        <f>SUMIFS('AJE'!$F$6:$F$13,'AJE'!$I$6:$I$13,$A46)</f>
        <v>0</v>
      </c>
      <c r="G46" s="13">
        <f>SUMIFS('AJE'!$H$6:$H$13,'AJE'!$J$6:$J$13,$A46)</f>
        <v>0</v>
      </c>
      <c r="H46" s="14">
        <f>E46+F46-G46</f>
        <v>437310318</v>
      </c>
      <c r="I46" s="15">
        <v>385458225</v>
      </c>
      <c r="J46" s="11" t="s">
        <v>53</v>
      </c>
      <c r="K46" s="11" t="s">
        <v>100</v>
      </c>
    </row>
    <row r="47" spans="1:11">
      <c r="A47" s="10">
        <v>81900</v>
      </c>
      <c r="B47" t="s">
        <v>109</v>
      </c>
      <c r="C47" t="s">
        <v>109</v>
      </c>
      <c r="D47" s="11" t="s">
        <v>96</v>
      </c>
      <c r="E47" s="12">
        <v>410160000</v>
      </c>
      <c r="F47" s="13">
        <f>SUMIFS('AJE'!$F$6:$F$13,'AJE'!$I$6:$I$13,$A47)</f>
        <v>0</v>
      </c>
      <c r="G47" s="13">
        <f>SUMIFS('AJE'!$H$6:$H$13,'AJE'!$J$6:$J$13,$A47)</f>
        <v>0</v>
      </c>
      <c r="H47" s="14">
        <f>E47+F47-G47</f>
        <v>410160000</v>
      </c>
      <c r="I47" s="15">
        <v>386160000</v>
      </c>
      <c r="J47" s="11" t="s">
        <v>53</v>
      </c>
      <c r="K47" s="11" t="s">
        <v>100</v>
      </c>
    </row>
    <row r="48" spans="1:11">
      <c r="A48" s="10">
        <v>82100</v>
      </c>
      <c r="B48" t="s">
        <v>110</v>
      </c>
      <c r="C48" t="s">
        <v>110</v>
      </c>
      <c r="D48" s="11" t="s">
        <v>96</v>
      </c>
      <c r="E48" s="12">
        <v>152379460</v>
      </c>
      <c r="F48" s="13">
        <f>SUMIFS('AJE'!$F$6:$F$13,'AJE'!$I$6:$I$13,$A48)</f>
        <v>0</v>
      </c>
      <c r="G48" s="13">
        <f>SUMIFS('AJE'!$H$6:$H$13,'AJE'!$J$6:$J$13,$A48)</f>
        <v>0</v>
      </c>
      <c r="H48" s="14">
        <f>E48+F48-G48</f>
        <v>152379460</v>
      </c>
      <c r="I48" s="15">
        <v>134794870</v>
      </c>
      <c r="J48" s="11" t="s">
        <v>53</v>
      </c>
      <c r="K48" s="11" t="s">
        <v>100</v>
      </c>
    </row>
    <row r="49" spans="1:11">
      <c r="A49" s="10">
        <v>82200</v>
      </c>
      <c r="B49" t="s">
        <v>111</v>
      </c>
      <c r="C49" t="s">
        <v>111</v>
      </c>
      <c r="D49" s="11" t="s">
        <v>96</v>
      </c>
      <c r="E49" s="12">
        <v>50400000</v>
      </c>
      <c r="F49" s="13">
        <f>SUMIFS('AJE'!$F$6:$F$13,'AJE'!$I$6:$I$13,$A49)</f>
        <v>0</v>
      </c>
      <c r="G49" s="13">
        <f>SUMIFS('AJE'!$H$6:$H$13,'AJE'!$J$6:$J$13,$A49)</f>
        <v>0</v>
      </c>
      <c r="H49" s="14">
        <f>E49+F49-G49</f>
        <v>50400000</v>
      </c>
      <c r="I49" s="15">
        <v>46000080</v>
      </c>
      <c r="J49" s="11" t="s">
        <v>53</v>
      </c>
      <c r="K49" s="11" t="s">
        <v>100</v>
      </c>
    </row>
    <row r="50" spans="1:11">
      <c r="A50" s="10">
        <v>82600</v>
      </c>
      <c r="B50" t="s">
        <v>112</v>
      </c>
      <c r="C50" t="s">
        <v>112</v>
      </c>
      <c r="D50" s="11" t="s">
        <v>96</v>
      </c>
      <c r="E50" s="12">
        <v>20160000</v>
      </c>
      <c r="F50" s="13">
        <f>SUMIFS('AJE'!$F$6:$F$13,'AJE'!$I$6:$I$13,$A50)</f>
        <v>0</v>
      </c>
      <c r="G50" s="13">
        <f>SUMIFS('AJE'!$H$6:$H$13,'AJE'!$J$6:$J$13,$A50)</f>
        <v>0</v>
      </c>
      <c r="H50" s="14">
        <f>E50+F50-G50</f>
        <v>20160000</v>
      </c>
      <c r="I50" s="15">
        <v>17559360</v>
      </c>
      <c r="J50" s="11" t="s">
        <v>53</v>
      </c>
      <c r="K50" s="11" t="s">
        <v>100</v>
      </c>
    </row>
    <row r="51" spans="1:11">
      <c r="A51" s="10">
        <v>83000</v>
      </c>
      <c r="B51" t="s">
        <v>113</v>
      </c>
      <c r="C51" t="s">
        <v>113</v>
      </c>
      <c r="D51" s="11" t="s">
        <v>96</v>
      </c>
      <c r="E51" s="12">
        <v>80640000</v>
      </c>
      <c r="F51" s="13">
        <f>SUMIFS('AJE'!$F$6:$F$13,'AJE'!$I$6:$I$13,$A51)</f>
        <v>0</v>
      </c>
      <c r="G51" s="13">
        <f>SUMIFS('AJE'!$H$6:$H$13,'AJE'!$J$6:$J$13,$A51)</f>
        <v>0</v>
      </c>
      <c r="H51" s="14">
        <f>E51+F51-G51</f>
        <v>80640000</v>
      </c>
      <c r="I51" s="15">
        <v>68156928</v>
      </c>
      <c r="J51" s="11" t="s">
        <v>53</v>
      </c>
      <c r="K51" s="11" t="s">
        <v>100</v>
      </c>
    </row>
    <row r="52" spans="1:11">
      <c r="A52" s="10">
        <v>83100</v>
      </c>
      <c r="B52" t="s">
        <v>26</v>
      </c>
      <c r="C52" t="s">
        <v>26</v>
      </c>
      <c r="D52" s="11" t="s">
        <v>96</v>
      </c>
      <c r="E52" s="12">
        <v>506849667</v>
      </c>
      <c r="F52" s="13">
        <f>SUMIFS('AJE'!$F$6:$F$13,'AJE'!$I$6:$I$13,$A52)</f>
        <v>0</v>
      </c>
      <c r="G52" s="13">
        <f>SUMIFS('AJE'!$H$6:$H$13,'AJE'!$J$6:$J$13,$A52)</f>
        <v>45000000</v>
      </c>
      <c r="H52" s="14">
        <f>E52+F52-G52</f>
        <v>461849667</v>
      </c>
      <c r="I52" s="15">
        <v>377515917</v>
      </c>
      <c r="J52" s="11" t="s">
        <v>53</v>
      </c>
      <c r="K52" s="11" t="s">
        <v>100</v>
      </c>
    </row>
    <row r="53" spans="1:11">
      <c r="A53" s="10">
        <v>83300</v>
      </c>
      <c r="B53" t="s">
        <v>114</v>
      </c>
      <c r="C53" t="s">
        <v>114</v>
      </c>
      <c r="D53" s="11" t="s">
        <v>96</v>
      </c>
      <c r="E53" s="12">
        <v>692400000</v>
      </c>
      <c r="F53" s="13">
        <f>SUMIFS('AJE'!$F$6:$F$13,'AJE'!$I$6:$I$13,$A53)</f>
        <v>0</v>
      </c>
      <c r="G53" s="13">
        <f>SUMIFS('AJE'!$H$6:$H$13,'AJE'!$J$6:$J$13,$A53)</f>
        <v>0</v>
      </c>
      <c r="H53" s="14">
        <f>E53+F53-G53</f>
        <v>692400000</v>
      </c>
      <c r="I53" s="15">
        <v>532594080</v>
      </c>
      <c r="J53" s="11" t="s">
        <v>53</v>
      </c>
      <c r="K53" s="11" t="s">
        <v>100</v>
      </c>
    </row>
    <row r="54" spans="1:11">
      <c r="A54" s="10">
        <v>84000</v>
      </c>
      <c r="B54" t="s">
        <v>115</v>
      </c>
      <c r="C54" t="s">
        <v>115</v>
      </c>
      <c r="D54" s="11" t="s">
        <v>96</v>
      </c>
      <c r="E54" s="12">
        <v>38999996</v>
      </c>
      <c r="F54" s="13">
        <f>SUMIFS('AJE'!$F$6:$F$13,'AJE'!$I$6:$I$13,$A54)</f>
        <v>0</v>
      </c>
      <c r="G54" s="13">
        <f>SUMIFS('AJE'!$H$6:$H$13,'AJE'!$J$6:$J$13,$A54)</f>
        <v>0</v>
      </c>
      <c r="H54" s="14">
        <f>E54+F54-G54</f>
        <v>38999996</v>
      </c>
      <c r="I54" s="15">
        <v>32016663</v>
      </c>
      <c r="J54" s="11" t="s">
        <v>53</v>
      </c>
      <c r="K54" s="11" t="s">
        <v>100</v>
      </c>
    </row>
    <row r="55" spans="1:11">
      <c r="A55" s="10">
        <v>84300</v>
      </c>
      <c r="B55" t="s">
        <v>116</v>
      </c>
      <c r="C55" t="s">
        <v>116</v>
      </c>
      <c r="D55" s="11" t="s">
        <v>96</v>
      </c>
      <c r="E55" s="12">
        <v>4049357000</v>
      </c>
      <c r="F55" s="13">
        <f>SUMIFS('AJE'!$F$6:$F$13,'AJE'!$I$6:$I$13,$A55)</f>
        <v>0</v>
      </c>
      <c r="G55" s="13">
        <f>SUMIFS('AJE'!$H$6:$H$13,'AJE'!$J$6:$J$13,$A55)</f>
        <v>0</v>
      </c>
      <c r="H55" s="14">
        <f>E55+F55-G55</f>
        <v>4049357000</v>
      </c>
      <c r="I55" s="15">
        <v>3455316328</v>
      </c>
      <c r="J55" s="11" t="s">
        <v>53</v>
      </c>
      <c r="K55" s="11" t="s">
        <v>100</v>
      </c>
    </row>
    <row r="56" spans="1:11">
      <c r="A56" s="10">
        <v>85300</v>
      </c>
      <c r="B56" t="s">
        <v>117</v>
      </c>
      <c r="C56" t="s">
        <v>117</v>
      </c>
      <c r="D56" s="11" t="s">
        <v>96</v>
      </c>
      <c r="E56" s="12">
        <v>180000000</v>
      </c>
      <c r="F56" s="13">
        <f>SUMIFS('AJE'!$F$6:$F$13,'AJE'!$I$6:$I$13,$A56)</f>
        <v>0</v>
      </c>
      <c r="G56" s="13">
        <f>SUMIFS('AJE'!$H$6:$H$13,'AJE'!$J$6:$J$13,$A56)</f>
        <v>0</v>
      </c>
      <c r="H56" s="14">
        <f>E56+F56-G56</f>
        <v>180000000</v>
      </c>
      <c r="I56" s="15">
        <v>135000000</v>
      </c>
      <c r="J56" s="11" t="s">
        <v>53</v>
      </c>
      <c r="K56" s="11" t="s">
        <v>100</v>
      </c>
    </row>
    <row r="57" spans="1:11">
      <c r="A57" s="10">
        <v>90100</v>
      </c>
      <c r="B57" t="s">
        <v>31</v>
      </c>
      <c r="C57" t="s">
        <v>31</v>
      </c>
      <c r="D57" s="11" t="s">
        <v>94</v>
      </c>
      <c r="E57" s="12">
        <v>-111870137</v>
      </c>
      <c r="F57" s="13">
        <f>SUMIFS('AJE'!$F$6:$F$13,'AJE'!$I$6:$I$13,$A57)</f>
        <v>0</v>
      </c>
      <c r="G57" s="13">
        <f>SUMIFS('AJE'!$H$6:$H$13,'AJE'!$J$6:$J$13,$A57)</f>
        <v>3528767</v>
      </c>
      <c r="H57" s="14">
        <f>E57+F57-G57</f>
        <v>-115398904</v>
      </c>
      <c r="I57" s="15">
        <v>-111187252</v>
      </c>
      <c r="J57" s="11" t="s">
        <v>53</v>
      </c>
      <c r="K57" s="11" t="s">
        <v>29</v>
      </c>
    </row>
    <row r="58" spans="1:11">
      <c r="A58" s="10">
        <v>90700</v>
      </c>
      <c r="B58" t="s">
        <v>118</v>
      </c>
      <c r="C58" t="s">
        <v>118</v>
      </c>
      <c r="D58" s="11" t="s">
        <v>94</v>
      </c>
      <c r="E58" s="12">
        <v>-921967</v>
      </c>
      <c r="F58" s="13">
        <f>SUMIFS('AJE'!$F$6:$F$13,'AJE'!$I$6:$I$13,$A58)</f>
        <v>0</v>
      </c>
      <c r="G58" s="13">
        <f>SUMIFS('AJE'!$H$6:$H$13,'AJE'!$J$6:$J$13,$A58)</f>
        <v>0</v>
      </c>
      <c r="H58" s="14">
        <f>E58+F58-G58</f>
        <v>-921967</v>
      </c>
      <c r="I58" s="15">
        <v>-1483920</v>
      </c>
      <c r="J58" s="11" t="s">
        <v>53</v>
      </c>
      <c r="K58" s="11" t="s">
        <v>29</v>
      </c>
    </row>
    <row r="59" spans="1:11">
      <c r="A59" s="10">
        <v>91000</v>
      </c>
      <c r="B59" t="s">
        <v>119</v>
      </c>
      <c r="C59" t="s">
        <v>119</v>
      </c>
      <c r="D59" s="11" t="s">
        <v>94</v>
      </c>
      <c r="E59" s="12">
        <v>-12768156</v>
      </c>
      <c r="F59" s="13">
        <f>SUMIFS('AJE'!$F$6:$F$13,'AJE'!$I$6:$I$13,$A59)</f>
        <v>0</v>
      </c>
      <c r="G59" s="13">
        <f>SUMIFS('AJE'!$H$6:$H$13,'AJE'!$J$6:$J$13,$A59)</f>
        <v>0</v>
      </c>
      <c r="H59" s="14">
        <f>E59+F59-G59</f>
        <v>-12768156</v>
      </c>
      <c r="I59" s="15">
        <v>-3126488</v>
      </c>
      <c r="J59" s="11" t="s">
        <v>53</v>
      </c>
      <c r="K59" s="11" t="s">
        <v>29</v>
      </c>
    </row>
    <row r="60" spans="1:11">
      <c r="A60" s="10">
        <v>93100</v>
      </c>
      <c r="B60" t="s">
        <v>120</v>
      </c>
      <c r="C60" t="s">
        <v>120</v>
      </c>
      <c r="D60" s="11" t="s">
        <v>96</v>
      </c>
      <c r="E60" s="12">
        <v>240000000</v>
      </c>
      <c r="F60" s="13">
        <f>SUMIFS('AJE'!$F$6:$F$13,'AJE'!$I$6:$I$13,$A60)</f>
        <v>0</v>
      </c>
      <c r="G60" s="13">
        <f>SUMIFS('AJE'!$H$6:$H$13,'AJE'!$J$6:$J$13,$A60)</f>
        <v>0</v>
      </c>
      <c r="H60" s="14">
        <f>E60+F60-G60</f>
        <v>240000000</v>
      </c>
      <c r="I60" s="15">
        <v>171000000</v>
      </c>
      <c r="J60" s="11" t="s">
        <v>53</v>
      </c>
      <c r="K60" s="11" t="s">
        <v>84</v>
      </c>
    </row>
    <row r="61" spans="1:11">
      <c r="A61" s="10">
        <v>93200</v>
      </c>
      <c r="B61" t="s">
        <v>121</v>
      </c>
      <c r="C61" t="s">
        <v>121</v>
      </c>
      <c r="D61" s="11" t="s">
        <v>96</v>
      </c>
      <c r="E61" s="12">
        <v>1974589</v>
      </c>
      <c r="F61" s="13">
        <f>SUMIFS('AJE'!$F$6:$F$13,'AJE'!$I$6:$I$13,$A61)</f>
        <v>0</v>
      </c>
      <c r="G61" s="13">
        <f>SUMIFS('AJE'!$H$6:$H$13,'AJE'!$J$6:$J$13,$A61)</f>
        <v>0</v>
      </c>
      <c r="H61" s="14">
        <f>E61+F61-G61</f>
        <v>1974589</v>
      </c>
      <c r="I61" s="15">
        <v>2861370</v>
      </c>
      <c r="J61" s="11" t="s">
        <v>53</v>
      </c>
      <c r="K61" s="11" t="s">
        <v>29</v>
      </c>
    </row>
    <row r="62" spans="1:11">
      <c r="B62" s="16" t="s">
        <v>39</v>
      </c>
      <c r="E62" s="17">
        <f>SUM(E5:E61)</f>
        <v>0</v>
      </c>
      <c r="F62" s="17">
        <f>SUM(F5:F61)</f>
        <v>1266928767</v>
      </c>
      <c r="G62" s="17">
        <f>SUM(G5:G61)</f>
        <v>1266928767</v>
      </c>
      <c r="H62" s="17">
        <f>SUM(H5:H61)</f>
        <v>0</v>
      </c>
      <c r="I62" s="17">
        <f>SUM(I5:I61)</f>
        <v>0</v>
      </c>
    </row>
    <row r="63" spans="1:11">
      <c r="B63" s="18" t="s">
        <v>122</v>
      </c>
      <c r="E63" s="19" t="str">
        <f>IF(ROUND(E62,0)=0,"OK","차대 불일치")</f>
        <v>OK</v>
      </c>
      <c r="F63" s="19" t="str">
        <f>IF(ROUND(F62-G62,0)=0,"OK","차대 불일치")</f>
        <v>OK</v>
      </c>
      <c r="H63" s="19" t="str">
        <f>IF(ROUND(H62,0)=0,"OK","차대 불일치")</f>
        <v>OK</v>
      </c>
      <c r="I63" s="19" t="str">
        <f>IF(ROUND(I62,0)=0,"OK","차대 불일치")</f>
        <v>OK</v>
      </c>
    </row>
  </sheetData>
  <autoFilter ref="A4:K61"/>
  <pageMargins left="0.4" right="0.4" top="0.5" bottom="0.5" header="0.3" footer="0.3"/>
  <pageSetup paperSize="9" fitToHeight="0" orientation="landscape"/>
  <headerFooter>
    <oddFooter>&amp;L&amp;8도담소프트(가상) 전기조서 WTB 2024&amp;C&amp;8&amp;A&amp;R&amp;8&amp;P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597"/>
    <pageSetUpPr fitToPage="1"/>
  </sheetPr>
  <dimension ref="A1:M59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8.7109375" customWidth="1"/>
    <col min="2" max="2" width="26.7109375" customWidth="1"/>
    <col min="3" max="3" width="22.7109375" customWidth="1"/>
    <col min="4" max="9" width="16.7109375" customWidth="1"/>
    <col min="10" max="10" width="8.7109375" customWidth="1"/>
    <col min="11" max="11" width="10.7109375" customWidth="1"/>
    <col min="12" max="13" width="9.7109375" customWidth="1"/>
  </cols>
  <sheetData>
    <row r="1" spans="1:13">
      <c r="A1" s="1" t="s">
        <v>162</v>
      </c>
    </row>
    <row r="2" spans="1:13">
      <c r="A2" s="2" t="s">
        <v>124</v>
      </c>
    </row>
    <row r="3" spans="1:13">
      <c r="J3" s="2" t="s">
        <v>125</v>
      </c>
      <c r="K3" s="13">
        <f>'표지'!$C$17</f>
        <v>74925000</v>
      </c>
    </row>
    <row r="4" spans="1:13">
      <c r="J4" s="2" t="s">
        <v>126</v>
      </c>
      <c r="K4" s="20">
        <v>0.1</v>
      </c>
    </row>
    <row r="6" spans="1:13" ht="28" customHeight="1">
      <c r="A6" s="6" t="s">
        <v>127</v>
      </c>
      <c r="B6" s="6" t="s">
        <v>128</v>
      </c>
      <c r="C6" s="6" t="s">
        <v>129</v>
      </c>
      <c r="D6" s="6" t="s">
        <v>131</v>
      </c>
      <c r="E6" s="6" t="s">
        <v>45</v>
      </c>
      <c r="F6" s="6" t="s">
        <v>46</v>
      </c>
      <c r="G6" s="6" t="s">
        <v>132</v>
      </c>
      <c r="H6" s="6" t="s">
        <v>133</v>
      </c>
      <c r="I6" s="6" t="s">
        <v>134</v>
      </c>
      <c r="J6" s="6" t="s">
        <v>135</v>
      </c>
      <c r="K6" s="6" t="s">
        <v>136</v>
      </c>
      <c r="L6" s="6" t="s">
        <v>137</v>
      </c>
      <c r="M6" s="6" t="s">
        <v>11</v>
      </c>
    </row>
    <row r="7" spans="1:13">
      <c r="A7" s="21" t="s">
        <v>52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>
      <c r="B8" s="18" t="s">
        <v>163</v>
      </c>
      <c r="C8" s="2" t="s">
        <v>164</v>
      </c>
      <c r="D8" s="22">
        <f>SUM(D9)</f>
        <v>6681123031</v>
      </c>
      <c r="E8" s="22">
        <f>SUM(E9)</f>
        <v>48528767</v>
      </c>
      <c r="F8" s="22">
        <f>SUM(F9)</f>
        <v>0</v>
      </c>
      <c r="G8" s="22">
        <f>SUM(G9)</f>
        <v>6729651798</v>
      </c>
      <c r="H8" s="22">
        <f>SUM(H9)</f>
        <v>7445194311</v>
      </c>
      <c r="I8" s="14">
        <f>G8-H8</f>
        <v>-715542513</v>
      </c>
      <c r="J8" s="20">
        <f>IF(H8=0,0,I8/ABS(H8))</f>
        <v>-0.09610797020338506</v>
      </c>
    </row>
    <row r="9" spans="1:13">
      <c r="B9" s="18" t="s">
        <v>165</v>
      </c>
      <c r="C9" s="2" t="s">
        <v>166</v>
      </c>
      <c r="D9" s="22">
        <f>SUM(D10,D11,D12,D13,D14,D15,D16)</f>
        <v>6681123031</v>
      </c>
      <c r="E9" s="22">
        <f>SUM(E10,E11,E12,E13,E14,E15,E16)</f>
        <v>48528767</v>
      </c>
      <c r="F9" s="22">
        <f>SUM(F10,F11,F12,F13,F14,F15,F16)</f>
        <v>0</v>
      </c>
      <c r="G9" s="22">
        <f>SUM(G10,G11,G12,G13,G14,G15,G16)</f>
        <v>6729651798</v>
      </c>
      <c r="H9" s="22">
        <f>SUM(H10,H11,H12,H13,H14,H15,H16)</f>
        <v>7445194311</v>
      </c>
      <c r="I9" s="14">
        <f>G9-H9</f>
        <v>-715542513</v>
      </c>
      <c r="J9" s="20">
        <f>IF(H9=0,0,I9/ABS(H9))</f>
        <v>-0.09610797020338506</v>
      </c>
    </row>
    <row r="10" spans="1:13">
      <c r="A10" s="10">
        <v>10300</v>
      </c>
      <c r="B10" t="s">
        <v>50</v>
      </c>
      <c r="C10" s="2" t="s">
        <v>51</v>
      </c>
      <c r="D10" s="13">
        <f>'TB'!E5</f>
        <v>2769582606</v>
      </c>
      <c r="E10" s="13">
        <f>'TB'!F5</f>
        <v>0</v>
      </c>
      <c r="F10" s="13">
        <f>'TB'!G5</f>
        <v>0</v>
      </c>
      <c r="G10" s="14">
        <f>D10+E10-F10</f>
        <v>2769582606</v>
      </c>
      <c r="H10" s="13">
        <f>'TB'!I5</f>
        <v>3645038600</v>
      </c>
      <c r="I10" s="14">
        <f>G10-H10</f>
        <v>-875455994</v>
      </c>
      <c r="J10" s="20">
        <f>IF(H10=0,0,I10/ABS(H10))</f>
        <v>-0.240177427476351</v>
      </c>
      <c r="K10" s="23" t="str">
        <f>IF(AND(ABS(I10)&gt;=$K$3,OR(H10=0,ABS(J10)&gt;=$K$4)),"설명 필요","")</f>
        <v>설명 필요</v>
      </c>
      <c r="M10" s="11" t="s">
        <v>29</v>
      </c>
    </row>
    <row r="11" spans="1:13">
      <c r="A11" s="10">
        <v>10500</v>
      </c>
      <c r="B11" t="s">
        <v>54</v>
      </c>
      <c r="C11" s="2" t="s">
        <v>55</v>
      </c>
      <c r="D11" s="13">
        <f>'TB'!E6</f>
        <v>3000000000</v>
      </c>
      <c r="E11" s="13">
        <f>'TB'!F6</f>
        <v>0</v>
      </c>
      <c r="F11" s="13">
        <f>'TB'!G6</f>
        <v>0</v>
      </c>
      <c r="G11" s="14">
        <f>D11+E11-F11</f>
        <v>3000000000</v>
      </c>
      <c r="H11" s="13">
        <f>'TB'!I6</f>
        <v>3000000000</v>
      </c>
      <c r="I11" s="14">
        <f>G11-H11</f>
        <v>0</v>
      </c>
      <c r="J11" s="20">
        <f>IF(H11=0,0,I11/ABS(H11))</f>
        <v>0.0</v>
      </c>
      <c r="K11" s="23">
        <f>IF(AND(ABS(I11)&gt;=$K$3,OR(H11=0,ABS(J11)&gt;=$K$4)),"설명 필요","")</f>
        <v/>
      </c>
      <c r="M11" s="11" t="s">
        <v>29</v>
      </c>
    </row>
    <row r="12" spans="1:13">
      <c r="A12" s="10">
        <v>10800</v>
      </c>
      <c r="B12" t="s">
        <v>56</v>
      </c>
      <c r="C12" s="2" t="s">
        <v>57</v>
      </c>
      <c r="D12" s="13">
        <f>'TB'!E7</f>
        <v>681160188</v>
      </c>
      <c r="E12" s="13">
        <f>'TB'!F7</f>
        <v>0</v>
      </c>
      <c r="F12" s="13">
        <f>'TB'!G7</f>
        <v>0</v>
      </c>
      <c r="G12" s="14">
        <f>D12+E12-F12</f>
        <v>681160188</v>
      </c>
      <c r="H12" s="13">
        <f>'TB'!I7</f>
        <v>540152971</v>
      </c>
      <c r="I12" s="14">
        <f>G12-H12</f>
        <v>141007217</v>
      </c>
      <c r="J12" s="20">
        <f>IF(H12=0,0,I12/ABS(H12))</f>
        <v>0.26105052562971093</v>
      </c>
      <c r="K12" s="23" t="str">
        <f>IF(AND(ABS(I12)&gt;=$K$3,OR(H12=0,ABS(J12)&gt;=$K$4)),"설명 필요","")</f>
        <v>설명 필요</v>
      </c>
      <c r="M12" s="11" t="s">
        <v>58</v>
      </c>
    </row>
    <row r="13" spans="1:13">
      <c r="A13" s="10">
        <v>11600</v>
      </c>
      <c r="B13" t="s">
        <v>30</v>
      </c>
      <c r="C13" s="2" t="s">
        <v>30</v>
      </c>
      <c r="D13" s="13">
        <f>'TB'!E8</f>
        <v>100032877</v>
      </c>
      <c r="E13" s="13">
        <f>'TB'!F8</f>
        <v>3528767</v>
      </c>
      <c r="F13" s="13">
        <f>'TB'!G8</f>
        <v>0</v>
      </c>
      <c r="G13" s="14">
        <f>D13+E13-F13</f>
        <v>103561644</v>
      </c>
      <c r="H13" s="13">
        <f>'TB'!I8</f>
        <v>109002740</v>
      </c>
      <c r="I13" s="14">
        <f>G13-H13</f>
        <v>-5441096</v>
      </c>
      <c r="J13" s="20">
        <f>IF(H13=0,0,I13/ABS(H13))</f>
        <v>-0.049917057130857444</v>
      </c>
      <c r="K13" s="23">
        <f>IF(AND(ABS(I13)&gt;=$K$3,OR(H13=0,ABS(J13)&gt;=$K$4)),"설명 필요","")</f>
        <v/>
      </c>
      <c r="L13" s="11" t="s">
        <v>154</v>
      </c>
      <c r="M13" s="11" t="s">
        <v>29</v>
      </c>
    </row>
    <row r="14" spans="1:13">
      <c r="A14" s="10">
        <v>13300</v>
      </c>
      <c r="B14" t="s">
        <v>25</v>
      </c>
      <c r="C14" s="2" t="s">
        <v>25</v>
      </c>
      <c r="D14" s="13">
        <f>'TB'!E9</f>
        <v>0</v>
      </c>
      <c r="E14" s="13">
        <f>'TB'!F9</f>
        <v>45000000</v>
      </c>
      <c r="F14" s="13">
        <f>'TB'!G9</f>
        <v>0</v>
      </c>
      <c r="G14" s="14">
        <f>D14+E14-F14</f>
        <v>45000000</v>
      </c>
      <c r="H14" s="13">
        <f>'TB'!I9</f>
        <v>0</v>
      </c>
      <c r="I14" s="14">
        <f>G14-H14</f>
        <v>45000000</v>
      </c>
      <c r="J14" s="20">
        <f>IF(H14=0,0,I14/ABS(H14))</f>
        <v>0</v>
      </c>
      <c r="K14" s="23">
        <f>IF(AND(ABS(I14)&gt;=$K$3,OR(H14=0,ABS(J14)&gt;=$K$4)),"설명 필요","")</f>
        <v/>
      </c>
      <c r="L14" s="11" t="s">
        <v>149</v>
      </c>
      <c r="M14" s="11" t="s">
        <v>24</v>
      </c>
    </row>
    <row r="15" spans="1:13">
      <c r="A15" s="10">
        <v>13500</v>
      </c>
      <c r="B15" t="s">
        <v>59</v>
      </c>
      <c r="C15" s="2" t="s">
        <v>59</v>
      </c>
      <c r="D15" s="13">
        <f>'TB'!E10</f>
        <v>111738000</v>
      </c>
      <c r="E15" s="13">
        <f>'TB'!F10</f>
        <v>0</v>
      </c>
      <c r="F15" s="13">
        <f>'TB'!G10</f>
        <v>0</v>
      </c>
      <c r="G15" s="14">
        <f>D15+E15-F15</f>
        <v>111738000</v>
      </c>
      <c r="H15" s="13">
        <f>'TB'!I10</f>
        <v>151000000</v>
      </c>
      <c r="I15" s="14">
        <f>G15-H15</f>
        <v>-39262000</v>
      </c>
      <c r="J15" s="20">
        <f>IF(H15=0,0,I15/ABS(H15))</f>
        <v>-0.26001324503311257</v>
      </c>
      <c r="K15" s="23">
        <f>IF(AND(ABS(I15)&gt;=$K$3,OR(H15=0,ABS(J15)&gt;=$K$4)),"설명 필요","")</f>
        <v/>
      </c>
      <c r="M15" s="11" t="s">
        <v>24</v>
      </c>
    </row>
    <row r="16" spans="1:13">
      <c r="A16" s="10">
        <v>13600</v>
      </c>
      <c r="B16" t="s">
        <v>60</v>
      </c>
      <c r="C16" s="2" t="s">
        <v>61</v>
      </c>
      <c r="D16" s="13">
        <f>'TB'!E11</f>
        <v>18609360</v>
      </c>
      <c r="E16" s="13">
        <f>'TB'!F11</f>
        <v>0</v>
      </c>
      <c r="F16" s="13">
        <f>'TB'!G11</f>
        <v>0</v>
      </c>
      <c r="G16" s="14">
        <f>D16+E16-F16</f>
        <v>18609360</v>
      </c>
      <c r="H16" s="13">
        <f>'TB'!I11</f>
        <v>0</v>
      </c>
      <c r="I16" s="14">
        <f>G16-H16</f>
        <v>18609360</v>
      </c>
      <c r="J16" s="20">
        <f>IF(H16=0,0,I16/ABS(H16))</f>
        <v>0</v>
      </c>
      <c r="K16" s="23">
        <f>IF(AND(ABS(I16)&gt;=$K$3,OR(H16=0,ABS(J16)&gt;=$K$4)),"설명 필요","")</f>
        <v/>
      </c>
      <c r="M16" s="11" t="s">
        <v>62</v>
      </c>
    </row>
    <row r="17" spans="1:13">
      <c r="B17" s="18" t="s">
        <v>167</v>
      </c>
      <c r="C17" s="2" t="s">
        <v>168</v>
      </c>
      <c r="D17" s="22">
        <f>SUM(D18,D22,D27,D30)</f>
        <v>2655573220</v>
      </c>
      <c r="E17" s="22">
        <f>SUM(E18,E22,E27,E30)</f>
        <v>1180000000</v>
      </c>
      <c r="F17" s="22">
        <f>SUM(F18,F22,F27,F30)</f>
        <v>1180000000</v>
      </c>
      <c r="G17" s="22">
        <f>SUM(G18,G22,G27,G30)</f>
        <v>2655573220</v>
      </c>
      <c r="H17" s="22">
        <f>SUM(H18,H22,H27,H30)</f>
        <v>2969783534</v>
      </c>
      <c r="I17" s="14">
        <f>G17-H17</f>
        <v>-314210314</v>
      </c>
      <c r="J17" s="20">
        <f>IF(H17=0,0,I17/ABS(H17))</f>
        <v>-0.1058024298413394</v>
      </c>
    </row>
    <row r="18" spans="1:13">
      <c r="B18" s="18" t="s">
        <v>169</v>
      </c>
      <c r="C18" s="2" t="s">
        <v>170</v>
      </c>
      <c r="D18" s="22">
        <f>SUM(D19,D20,D21)</f>
        <v>1240000000</v>
      </c>
      <c r="E18" s="22">
        <f>SUM(E19,E20,E21)</f>
        <v>1180000000</v>
      </c>
      <c r="F18" s="22">
        <f>SUM(F19,F20,F21)</f>
        <v>1180000000</v>
      </c>
      <c r="G18" s="22">
        <f>SUM(G19,G20,G21)</f>
        <v>1240000000</v>
      </c>
      <c r="H18" s="22">
        <f>SUM(H19,H20,H21)</f>
        <v>1240000000</v>
      </c>
      <c r="I18" s="14">
        <f>G18-H18</f>
        <v>0</v>
      </c>
      <c r="J18" s="20">
        <f>IF(H18=0,0,I18/ABS(H18))</f>
        <v>0.0</v>
      </c>
    </row>
    <row r="19" spans="1:13">
      <c r="A19" s="10">
        <v>17900</v>
      </c>
      <c r="B19" t="s">
        <v>63</v>
      </c>
      <c r="C19" s="2" t="s">
        <v>63</v>
      </c>
      <c r="D19" s="13">
        <f>'TB'!E14</f>
        <v>60000000</v>
      </c>
      <c r="E19" s="13">
        <f>'TB'!F14</f>
        <v>0</v>
      </c>
      <c r="F19" s="13">
        <f>'TB'!G14</f>
        <v>0</v>
      </c>
      <c r="G19" s="14">
        <f>D19+E19-F19</f>
        <v>60000000</v>
      </c>
      <c r="H19" s="13">
        <f>'TB'!I14</f>
        <v>60000000</v>
      </c>
      <c r="I19" s="14">
        <f>G19-H19</f>
        <v>0</v>
      </c>
      <c r="J19" s="20">
        <f>IF(H19=0,0,I19/ABS(H19))</f>
        <v>0.0</v>
      </c>
      <c r="K19" s="23">
        <f>IF(AND(ABS(I19)&gt;=$K$3,OR(H19=0,ABS(J19)&gt;=$K$4)),"설명 필요","")</f>
        <v/>
      </c>
      <c r="M19" s="11" t="s">
        <v>35</v>
      </c>
    </row>
    <row r="20" spans="1:13">
      <c r="A20" s="10">
        <v>18000</v>
      </c>
      <c r="B20" t="s">
        <v>37</v>
      </c>
      <c r="C20" s="2" t="s">
        <v>37</v>
      </c>
      <c r="D20" s="13">
        <f>'TB'!E13</f>
        <v>0</v>
      </c>
      <c r="E20" s="13">
        <f>'TB'!F13</f>
        <v>1180000000</v>
      </c>
      <c r="F20" s="13">
        <f>'TB'!G13</f>
        <v>0</v>
      </c>
      <c r="G20" s="14">
        <f>D20+E20-F20</f>
        <v>1180000000</v>
      </c>
      <c r="H20" s="13">
        <f>'TB'!I13</f>
        <v>1180000000</v>
      </c>
      <c r="I20" s="14">
        <f>G20-H20</f>
        <v>0</v>
      </c>
      <c r="J20" s="20">
        <f>IF(H20=0,0,I20/ABS(H20))</f>
        <v>0.0</v>
      </c>
      <c r="K20" s="23">
        <f>IF(AND(ABS(I20)&gt;=$K$3,OR(H20=0,ABS(J20)&gt;=$K$4)),"설명 필요","")</f>
        <v/>
      </c>
      <c r="L20" s="11" t="s">
        <v>171</v>
      </c>
      <c r="M20" s="11" t="s">
        <v>35</v>
      </c>
    </row>
    <row r="21" spans="1:13">
      <c r="A21" s="10">
        <v>17800</v>
      </c>
      <c r="B21" t="s">
        <v>38</v>
      </c>
      <c r="C21" s="2" t="s">
        <v>37</v>
      </c>
      <c r="D21" s="13">
        <f>'TB'!E12</f>
        <v>1180000000</v>
      </c>
      <c r="E21" s="13">
        <f>'TB'!F12</f>
        <v>0</v>
      </c>
      <c r="F21" s="13">
        <f>'TB'!G12</f>
        <v>1180000000</v>
      </c>
      <c r="G21" s="14">
        <f>D21+E21-F21</f>
        <v>0</v>
      </c>
      <c r="H21" s="13">
        <f>'TB'!I12</f>
        <v>0</v>
      </c>
      <c r="I21" s="14">
        <f>G21-H21</f>
        <v>0</v>
      </c>
      <c r="J21" s="20">
        <f>IF(H21=0,0,I21/ABS(H21))</f>
        <v>0</v>
      </c>
      <c r="K21" s="23">
        <f>IF(AND(ABS(I21)&gt;=$K$3,OR(H21=0,ABS(J21)&gt;=$K$4)),"설명 필요","")</f>
        <v/>
      </c>
      <c r="L21" s="11" t="s">
        <v>171</v>
      </c>
      <c r="M21" s="11" t="s">
        <v>35</v>
      </c>
    </row>
    <row r="22" spans="1:13">
      <c r="B22" s="18" t="s">
        <v>172</v>
      </c>
      <c r="C22" s="2" t="s">
        <v>173</v>
      </c>
      <c r="D22" s="22">
        <f>SUM(D23,D24,D25,D26)</f>
        <v>875189879</v>
      </c>
      <c r="E22" s="22">
        <f>SUM(E23,E24,E25,E26)</f>
        <v>0</v>
      </c>
      <c r="F22" s="22">
        <f>SUM(F23,F24,F25,F26)</f>
        <v>0</v>
      </c>
      <c r="G22" s="22">
        <f>SUM(G23,G24,G25,G26)</f>
        <v>875189879</v>
      </c>
      <c r="H22" s="22">
        <f>SUM(H23,H24,H25,H26)</f>
        <v>1198400197</v>
      </c>
      <c r="I22" s="14">
        <f>G22-H22</f>
        <v>-323210318</v>
      </c>
      <c r="J22" s="20">
        <f>IF(H22=0,0,I22/ABS(H22))</f>
        <v>-0.2697014893765075</v>
      </c>
    </row>
    <row r="23" spans="1:13">
      <c r="A23" s="10">
        <v>21200</v>
      </c>
      <c r="B23" t="s">
        <v>64</v>
      </c>
      <c r="C23" s="2" t="s">
        <v>64</v>
      </c>
      <c r="D23" s="13">
        <f>'TB'!E15</f>
        <v>1245000000</v>
      </c>
      <c r="E23" s="13">
        <f>'TB'!F15</f>
        <v>0</v>
      </c>
      <c r="F23" s="13">
        <f>'TB'!G15</f>
        <v>0</v>
      </c>
      <c r="G23" s="14">
        <f>D23+E23-F23</f>
        <v>1245000000</v>
      </c>
      <c r="H23" s="13">
        <f>'TB'!I15</f>
        <v>1130900000</v>
      </c>
      <c r="I23" s="14">
        <f>G23-H23</f>
        <v>114100000</v>
      </c>
      <c r="J23" s="20">
        <f>IF(H23=0,0,I23/ABS(H23))</f>
        <v>0.10089309399593244</v>
      </c>
      <c r="K23" s="23" t="str">
        <f>IF(AND(ABS(I23)&gt;=$K$3,OR(H23=0,ABS(J23)&gt;=$K$4)),"설명 필요","")</f>
        <v>설명 필요</v>
      </c>
      <c r="M23" s="11" t="s">
        <v>65</v>
      </c>
    </row>
    <row r="24" spans="1:13">
      <c r="A24" s="10">
        <v>21300</v>
      </c>
      <c r="B24" t="s">
        <v>66</v>
      </c>
      <c r="C24" s="2" t="s">
        <v>67</v>
      </c>
      <c r="D24" s="13">
        <f>'TB'!E16</f>
        <v>-771043482</v>
      </c>
      <c r="E24" s="13">
        <f>'TB'!F16</f>
        <v>0</v>
      </c>
      <c r="F24" s="13">
        <f>'TB'!G16</f>
        <v>0</v>
      </c>
      <c r="G24" s="14">
        <f>D24+E24-F24</f>
        <v>-771043482</v>
      </c>
      <c r="H24" s="13">
        <f>'TB'!I16</f>
        <v>-493333152</v>
      </c>
      <c r="I24" s="14">
        <f>G24-H24</f>
        <v>-277710330</v>
      </c>
      <c r="J24" s="20">
        <f>IF(H24=0,0,I24/ABS(H24))</f>
        <v>-0.5629265515081379</v>
      </c>
      <c r="K24" s="23" t="str">
        <f>IF(AND(ABS(I24)&gt;=$K$3,OR(H24=0,ABS(J24)&gt;=$K$4)),"설명 필요","")</f>
        <v>설명 필요</v>
      </c>
      <c r="M24" s="11" t="s">
        <v>65</v>
      </c>
    </row>
    <row r="25" spans="1:13">
      <c r="A25" s="10">
        <v>22100</v>
      </c>
      <c r="B25" t="s">
        <v>68</v>
      </c>
      <c r="C25" s="2" t="s">
        <v>68</v>
      </c>
      <c r="D25" s="13">
        <f>'TB'!E17</f>
        <v>798000000</v>
      </c>
      <c r="E25" s="13">
        <f>'TB'!F17</f>
        <v>0</v>
      </c>
      <c r="F25" s="13">
        <f>'TB'!G17</f>
        <v>0</v>
      </c>
      <c r="G25" s="14">
        <f>D25+E25-F25</f>
        <v>798000000</v>
      </c>
      <c r="H25" s="13">
        <f>'TB'!I17</f>
        <v>798000000</v>
      </c>
      <c r="I25" s="14">
        <f>G25-H25</f>
        <v>0</v>
      </c>
      <c r="J25" s="20">
        <f>IF(H25=0,0,I25/ABS(H25))</f>
        <v>0.0</v>
      </c>
      <c r="K25" s="23">
        <f>IF(AND(ABS(I25)&gt;=$K$3,OR(H25=0,ABS(J25)&gt;=$K$4)),"설명 필요","")</f>
        <v/>
      </c>
      <c r="M25" s="11" t="s">
        <v>65</v>
      </c>
    </row>
    <row r="26" spans="1:13">
      <c r="A26" s="10">
        <v>22200</v>
      </c>
      <c r="B26" t="s">
        <v>66</v>
      </c>
      <c r="C26" s="2" t="s">
        <v>69</v>
      </c>
      <c r="D26" s="13">
        <f>'TB'!E18</f>
        <v>-396766639</v>
      </c>
      <c r="E26" s="13">
        <f>'TB'!F18</f>
        <v>0</v>
      </c>
      <c r="F26" s="13">
        <f>'TB'!G18</f>
        <v>0</v>
      </c>
      <c r="G26" s="14">
        <f>D26+E26-F26</f>
        <v>-396766639</v>
      </c>
      <c r="H26" s="13">
        <f>'TB'!I18</f>
        <v>-237166651</v>
      </c>
      <c r="I26" s="14">
        <f>G26-H26</f>
        <v>-159599988</v>
      </c>
      <c r="J26" s="20">
        <f>IF(H26=0,0,I26/ABS(H26))</f>
        <v>-0.672944477341378</v>
      </c>
      <c r="K26" s="23" t="str">
        <f>IF(AND(ABS(I26)&gt;=$K$3,OR(H26=0,ABS(J26)&gt;=$K$4)),"설명 필요","")</f>
        <v>설명 필요</v>
      </c>
      <c r="M26" s="11" t="s">
        <v>65</v>
      </c>
    </row>
    <row r="27" spans="1:13">
      <c r="B27" s="18" t="s">
        <v>174</v>
      </c>
      <c r="C27" s="2" t="s">
        <v>175</v>
      </c>
      <c r="D27" s="22">
        <f>SUM(D28,D29)</f>
        <v>160383341</v>
      </c>
      <c r="E27" s="22">
        <f>SUM(E28,E29)</f>
        <v>0</v>
      </c>
      <c r="F27" s="22">
        <f>SUM(F28,F29)</f>
        <v>0</v>
      </c>
      <c r="G27" s="22">
        <f>SUM(G28,G29)</f>
        <v>160383341</v>
      </c>
      <c r="H27" s="22">
        <f>SUM(H28,H29)</f>
        <v>151383337</v>
      </c>
      <c r="I27" s="14">
        <f>G27-H27</f>
        <v>9000004</v>
      </c>
      <c r="J27" s="20">
        <f>IF(H27=0,0,I27/ABS(H27))</f>
        <v>0.05945174798201205</v>
      </c>
    </row>
    <row r="28" spans="1:13">
      <c r="A28" s="10">
        <v>24000</v>
      </c>
      <c r="B28" t="s">
        <v>70</v>
      </c>
      <c r="C28" s="2" t="s">
        <v>70</v>
      </c>
      <c r="D28" s="13">
        <f>'TB'!E19</f>
        <v>119200000</v>
      </c>
      <c r="E28" s="13">
        <f>'TB'!F19</f>
        <v>0</v>
      </c>
      <c r="F28" s="13">
        <f>'TB'!G19</f>
        <v>0</v>
      </c>
      <c r="G28" s="14">
        <f>D28+E28-F28</f>
        <v>119200000</v>
      </c>
      <c r="H28" s="13">
        <f>'TB'!I19</f>
        <v>104400000</v>
      </c>
      <c r="I28" s="14">
        <f>G28-H28</f>
        <v>14800000</v>
      </c>
      <c r="J28" s="20">
        <f>IF(H28=0,0,I28/ABS(H28))</f>
        <v>0.1417624521072797</v>
      </c>
      <c r="K28" s="23">
        <f>IF(AND(ABS(I28)&gt;=$K$3,OR(H28=0,ABS(J28)&gt;=$K$4)),"설명 필요","")</f>
        <v/>
      </c>
      <c r="M28" s="11" t="s">
        <v>71</v>
      </c>
    </row>
    <row r="29" spans="1:13">
      <c r="A29" s="10">
        <v>23200</v>
      </c>
      <c r="B29" t="s">
        <v>72</v>
      </c>
      <c r="C29" s="2" t="s">
        <v>72</v>
      </c>
      <c r="D29" s="13">
        <f>'TB'!E20</f>
        <v>41183341</v>
      </c>
      <c r="E29" s="13">
        <f>'TB'!F20</f>
        <v>0</v>
      </c>
      <c r="F29" s="13">
        <f>'TB'!G20</f>
        <v>0</v>
      </c>
      <c r="G29" s="14">
        <f>D29+E29-F29</f>
        <v>41183341</v>
      </c>
      <c r="H29" s="13">
        <f>'TB'!I20</f>
        <v>46983337</v>
      </c>
      <c r="I29" s="14">
        <f>G29-H29</f>
        <v>-5799996</v>
      </c>
      <c r="J29" s="20">
        <f>IF(H29=0,0,I29/ABS(H29))</f>
        <v>-0.12344793644606385</v>
      </c>
      <c r="K29" s="23">
        <f>IF(AND(ABS(I29)&gt;=$K$3,OR(H29=0,ABS(J29)&gt;=$K$4)),"설명 필요","")</f>
        <v/>
      </c>
      <c r="M29" s="11" t="s">
        <v>71</v>
      </c>
    </row>
    <row r="30" spans="1:13">
      <c r="B30" s="18" t="s">
        <v>176</v>
      </c>
      <c r="C30" s="2" t="s">
        <v>177</v>
      </c>
      <c r="D30" s="22">
        <f>SUM(D31)</f>
        <v>380000000</v>
      </c>
      <c r="E30" s="22">
        <f>SUM(E31)</f>
        <v>0</v>
      </c>
      <c r="F30" s="22">
        <f>SUM(F31)</f>
        <v>0</v>
      </c>
      <c r="G30" s="22">
        <f>SUM(G31)</f>
        <v>380000000</v>
      </c>
      <c r="H30" s="22">
        <f>SUM(H31)</f>
        <v>380000000</v>
      </c>
      <c r="I30" s="14">
        <f>G30-H30</f>
        <v>0</v>
      </c>
      <c r="J30" s="20">
        <f>IF(H30=0,0,I30/ABS(H30))</f>
        <v>0.0</v>
      </c>
    </row>
    <row r="31" spans="1:13">
      <c r="A31" s="10">
        <v>18300</v>
      </c>
      <c r="B31" t="s">
        <v>73</v>
      </c>
      <c r="C31" s="2" t="s">
        <v>73</v>
      </c>
      <c r="D31" s="13">
        <f>'TB'!E21</f>
        <v>380000000</v>
      </c>
      <c r="E31" s="13">
        <f>'TB'!F21</f>
        <v>0</v>
      </c>
      <c r="F31" s="13">
        <f>'TB'!G21</f>
        <v>0</v>
      </c>
      <c r="G31" s="14">
        <f>D31+E31-F31</f>
        <v>380000000</v>
      </c>
      <c r="H31" s="13">
        <f>'TB'!I21</f>
        <v>380000000</v>
      </c>
      <c r="I31" s="14">
        <f>G31-H31</f>
        <v>0</v>
      </c>
      <c r="J31" s="20">
        <f>IF(H31=0,0,I31/ABS(H31))</f>
        <v>0.0</v>
      </c>
      <c r="K31" s="23">
        <f>IF(AND(ABS(I31)&gt;=$K$3,OR(H31=0,ABS(J31)&gt;=$K$4)),"설명 필요","")</f>
        <v/>
      </c>
      <c r="M31" s="11" t="s">
        <v>35</v>
      </c>
    </row>
    <row r="32" spans="1:13">
      <c r="B32" s="16" t="s">
        <v>178</v>
      </c>
      <c r="D32" s="17">
        <f>D8+D17</f>
        <v>9336696251</v>
      </c>
      <c r="G32" s="17">
        <f>G8+G17</f>
        <v>9385225018</v>
      </c>
      <c r="H32" s="17">
        <f>H8+H17</f>
        <v>10414977845</v>
      </c>
      <c r="I32" s="14">
        <f>G32-H32</f>
        <v>-1029752827</v>
      </c>
      <c r="J32" s="20">
        <f>IF(H32=0,0,I32/ABS(H32))</f>
        <v>-0.09887230124972003</v>
      </c>
    </row>
    <row r="33" spans="1:13">
      <c r="A33" s="21" t="s">
        <v>76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>
      <c r="B34" s="18" t="s">
        <v>179</v>
      </c>
      <c r="C34" s="2" t="s">
        <v>180</v>
      </c>
      <c r="D34" s="22">
        <f>SUM(D35,D36,D37,D38,D39,D40,D41)</f>
        <v>3509993085</v>
      </c>
      <c r="E34" s="22">
        <f>SUM(E35,E36,E37,E38,E39,E40,E41)</f>
        <v>0</v>
      </c>
      <c r="F34" s="22">
        <f>SUM(F35,F36,F37,F38,F39,F40,F41)</f>
        <v>38400000</v>
      </c>
      <c r="G34" s="22">
        <f>SUM(G35,G36,G37,G38,G39,G40,G41)</f>
        <v>3548393085</v>
      </c>
      <c r="H34" s="22">
        <f>SUM(H35,H36,H37,H38,H39,H40,H41)</f>
        <v>3339351041</v>
      </c>
      <c r="I34" s="14">
        <f>G34-H34</f>
        <v>209042044</v>
      </c>
      <c r="J34" s="20">
        <f>IF(H34=0,0,I34/ABS(H34))</f>
        <v>0.06259960136967223</v>
      </c>
    </row>
    <row r="35" spans="1:13">
      <c r="A35" s="10">
        <v>25100</v>
      </c>
      <c r="B35" t="s">
        <v>74</v>
      </c>
      <c r="C35" s="2" t="s">
        <v>75</v>
      </c>
      <c r="D35" s="13">
        <f>-'TB'!E22</f>
        <v>228536000</v>
      </c>
      <c r="E35" s="13">
        <f>'TB'!F22</f>
        <v>0</v>
      </c>
      <c r="F35" s="13">
        <f>'TB'!G22</f>
        <v>0</v>
      </c>
      <c r="G35" s="14">
        <f>D35-E35+F35</f>
        <v>228536000</v>
      </c>
      <c r="H35" s="13">
        <f>-'TB'!I22</f>
        <v>176000000</v>
      </c>
      <c r="I35" s="14">
        <f>G35-H35</f>
        <v>52536000</v>
      </c>
      <c r="J35" s="20">
        <f>IF(H35=0,0,I35/ABS(H35))</f>
        <v>0.2985</v>
      </c>
      <c r="K35" s="23">
        <f>IF(AND(ABS(I35)&gt;=$K$3,OR(H35=0,ABS(J35)&gt;=$K$4)),"설명 필요","")</f>
        <v/>
      </c>
      <c r="M35" s="11" t="s">
        <v>18</v>
      </c>
    </row>
    <row r="36" spans="1:13">
      <c r="A36" s="10">
        <v>25300</v>
      </c>
      <c r="B36" t="s">
        <v>77</v>
      </c>
      <c r="C36" s="2" t="s">
        <v>77</v>
      </c>
      <c r="D36" s="13">
        <f>-'TB'!E23</f>
        <v>149096000</v>
      </c>
      <c r="E36" s="13">
        <f>'TB'!F23</f>
        <v>0</v>
      </c>
      <c r="F36" s="13">
        <f>'TB'!G23</f>
        <v>0</v>
      </c>
      <c r="G36" s="14">
        <f>D36-E36+F36</f>
        <v>149096000</v>
      </c>
      <c r="H36" s="13">
        <f>-'TB'!I23</f>
        <v>119600000</v>
      </c>
      <c r="I36" s="14">
        <f>G36-H36</f>
        <v>29496000</v>
      </c>
      <c r="J36" s="20">
        <f>IF(H36=0,0,I36/ABS(H36))</f>
        <v>0.2466220735785953</v>
      </c>
      <c r="K36" s="23">
        <f>IF(AND(ABS(I36)&gt;=$K$3,OR(H36=0,ABS(J36)&gt;=$K$4)),"설명 필요","")</f>
        <v/>
      </c>
      <c r="M36" s="11" t="s">
        <v>78</v>
      </c>
    </row>
    <row r="37" spans="1:13">
      <c r="A37" s="10">
        <v>25400</v>
      </c>
      <c r="B37" t="s">
        <v>79</v>
      </c>
      <c r="C37" s="2" t="s">
        <v>79</v>
      </c>
      <c r="D37" s="13">
        <f>-'TB'!E24</f>
        <v>188039650</v>
      </c>
      <c r="E37" s="13">
        <f>'TB'!F24</f>
        <v>0</v>
      </c>
      <c r="F37" s="13">
        <f>'TB'!G24</f>
        <v>0</v>
      </c>
      <c r="G37" s="14">
        <f>D37-E37+F37</f>
        <v>188039650</v>
      </c>
      <c r="H37" s="13">
        <f>-'TB'!I24</f>
        <v>151620000</v>
      </c>
      <c r="I37" s="14">
        <f>G37-H37</f>
        <v>36419650</v>
      </c>
      <c r="J37" s="20">
        <f>IF(H37=0,0,I37/ABS(H37))</f>
        <v>0.24020346919931407</v>
      </c>
      <c r="K37" s="23">
        <f>IF(AND(ABS(I37)&gt;=$K$3,OR(H37=0,ABS(J37)&gt;=$K$4)),"설명 필요","")</f>
        <v/>
      </c>
      <c r="M37" s="11" t="s">
        <v>78</v>
      </c>
    </row>
    <row r="38" spans="1:13">
      <c r="A38" s="10">
        <v>25500</v>
      </c>
      <c r="B38" t="s">
        <v>80</v>
      </c>
      <c r="C38" s="2" t="s">
        <v>80</v>
      </c>
      <c r="D38" s="13">
        <f>-'TB'!E25</f>
        <v>389788078</v>
      </c>
      <c r="E38" s="13">
        <f>'TB'!F25</f>
        <v>0</v>
      </c>
      <c r="F38" s="13">
        <f>'TB'!G25</f>
        <v>0</v>
      </c>
      <c r="G38" s="14">
        <f>D38-E38+F38</f>
        <v>389788078</v>
      </c>
      <c r="H38" s="13">
        <f>-'TB'!I25</f>
        <v>414939340</v>
      </c>
      <c r="I38" s="14">
        <f>G38-H38</f>
        <v>-25151262</v>
      </c>
      <c r="J38" s="20">
        <f>IF(H38=0,0,I38/ABS(H38))</f>
        <v>-0.060614310515845524</v>
      </c>
      <c r="K38" s="23">
        <f>IF(AND(ABS(I38)&gt;=$K$3,OR(H38=0,ABS(J38)&gt;=$K$4)),"설명 필요","")</f>
        <v/>
      </c>
      <c r="M38" s="11" t="s">
        <v>78</v>
      </c>
    </row>
    <row r="39" spans="1:13">
      <c r="A39" s="10">
        <v>25900</v>
      </c>
      <c r="B39" t="s">
        <v>81</v>
      </c>
      <c r="C39" s="2" t="s">
        <v>81</v>
      </c>
      <c r="D39" s="13">
        <f>-'TB'!E26</f>
        <v>554533357</v>
      </c>
      <c r="E39" s="13">
        <f>'TB'!F26</f>
        <v>0</v>
      </c>
      <c r="F39" s="13">
        <f>'TB'!G26</f>
        <v>0</v>
      </c>
      <c r="G39" s="14">
        <f>D39-E39+F39</f>
        <v>554533357</v>
      </c>
      <c r="H39" s="13">
        <f>-'TB'!I26</f>
        <v>477191701</v>
      </c>
      <c r="I39" s="14">
        <f>G39-H39</f>
        <v>77341656</v>
      </c>
      <c r="J39" s="20">
        <f>IF(H39=0,0,I39/ABS(H39))</f>
        <v>0.162076699653249</v>
      </c>
      <c r="K39" s="23" t="str">
        <f>IF(AND(ABS(I39)&gt;=$K$3,OR(H39=0,ABS(J39)&gt;=$K$4)),"설명 필요","")</f>
        <v>설명 필요</v>
      </c>
      <c r="M39" s="11" t="s">
        <v>82</v>
      </c>
    </row>
    <row r="40" spans="1:13">
      <c r="A40" s="10">
        <v>26200</v>
      </c>
      <c r="B40" t="s">
        <v>21</v>
      </c>
      <c r="C40" s="2" t="s">
        <v>21</v>
      </c>
      <c r="D40" s="13">
        <f>-'TB'!E28</f>
        <v>0</v>
      </c>
      <c r="E40" s="13">
        <f>'TB'!F28</f>
        <v>0</v>
      </c>
      <c r="F40" s="13">
        <f>'TB'!G28</f>
        <v>38400000</v>
      </c>
      <c r="G40" s="14">
        <f>D40-E40+F40</f>
        <v>38400000</v>
      </c>
      <c r="H40" s="13">
        <f>-'TB'!I28</f>
        <v>0</v>
      </c>
      <c r="I40" s="14">
        <f>G40-H40</f>
        <v>38400000</v>
      </c>
      <c r="J40" s="20">
        <f>IF(H40=0,0,I40/ABS(H40))</f>
        <v>0</v>
      </c>
      <c r="K40" s="23">
        <f>IF(AND(ABS(I40)&gt;=$K$3,OR(H40=0,ABS(J40)&gt;=$K$4)),"설명 필요","")</f>
        <v/>
      </c>
      <c r="L40" s="11" t="s">
        <v>144</v>
      </c>
      <c r="M40" s="11" t="s">
        <v>78</v>
      </c>
    </row>
    <row r="41" spans="1:13">
      <c r="A41" s="10">
        <v>26000</v>
      </c>
      <c r="B41" t="s">
        <v>83</v>
      </c>
      <c r="C41" s="2" t="s">
        <v>83</v>
      </c>
      <c r="D41" s="13">
        <f>-'TB'!E27</f>
        <v>2000000000</v>
      </c>
      <c r="E41" s="13">
        <f>'TB'!F27</f>
        <v>0</v>
      </c>
      <c r="F41" s="13">
        <f>'TB'!G27</f>
        <v>0</v>
      </c>
      <c r="G41" s="14">
        <f>D41-E41+F41</f>
        <v>2000000000</v>
      </c>
      <c r="H41" s="13">
        <f>-'TB'!I27</f>
        <v>2000000000</v>
      </c>
      <c r="I41" s="14">
        <f>G41-H41</f>
        <v>0</v>
      </c>
      <c r="J41" s="20">
        <f>IF(H41=0,0,I41/ABS(H41))</f>
        <v>0.0</v>
      </c>
      <c r="K41" s="23">
        <f>IF(AND(ABS(I41)&gt;=$K$3,OR(H41=0,ABS(J41)&gt;=$K$4)),"설명 필요","")</f>
        <v/>
      </c>
      <c r="M41" s="11" t="s">
        <v>84</v>
      </c>
    </row>
    <row r="42" spans="1:13">
      <c r="B42" s="18" t="s">
        <v>181</v>
      </c>
      <c r="C42" s="2" t="s">
        <v>182</v>
      </c>
      <c r="D42" s="22">
        <f>SUM(D43)</f>
        <v>3000000000</v>
      </c>
      <c r="E42" s="22">
        <f>SUM(E43)</f>
        <v>0</v>
      </c>
      <c r="F42" s="22">
        <f>SUM(F43)</f>
        <v>0</v>
      </c>
      <c r="G42" s="22">
        <f>SUM(G43)</f>
        <v>3000000000</v>
      </c>
      <c r="H42" s="22">
        <f>SUM(H43)</f>
        <v>3000000000</v>
      </c>
      <c r="I42" s="14">
        <f>G42-H42</f>
        <v>0</v>
      </c>
      <c r="J42" s="20">
        <f>IF(H42=0,0,I42/ABS(H42))</f>
        <v>0.0</v>
      </c>
    </row>
    <row r="43" spans="1:13">
      <c r="A43" s="10">
        <v>29300</v>
      </c>
      <c r="B43" t="s">
        <v>85</v>
      </c>
      <c r="C43" s="2" t="s">
        <v>85</v>
      </c>
      <c r="D43" s="13">
        <f>-'TB'!E29</f>
        <v>3000000000</v>
      </c>
      <c r="E43" s="13">
        <f>'TB'!F29</f>
        <v>0</v>
      </c>
      <c r="F43" s="13">
        <f>'TB'!G29</f>
        <v>0</v>
      </c>
      <c r="G43" s="14">
        <f>D43-E43+F43</f>
        <v>3000000000</v>
      </c>
      <c r="H43" s="13">
        <f>-'TB'!I29</f>
        <v>3000000000</v>
      </c>
      <c r="I43" s="14">
        <f>G43-H43</f>
        <v>0</v>
      </c>
      <c r="J43" s="20">
        <f>IF(H43=0,0,I43/ABS(H43))</f>
        <v>0.0</v>
      </c>
      <c r="K43" s="23">
        <f>IF(AND(ABS(I43)&gt;=$K$3,OR(H43=0,ABS(J43)&gt;=$K$4)),"설명 필요","")</f>
        <v/>
      </c>
      <c r="M43" s="11" t="s">
        <v>84</v>
      </c>
    </row>
    <row r="44" spans="1:13">
      <c r="B44" s="16" t="s">
        <v>183</v>
      </c>
      <c r="D44" s="17">
        <f>D34+D42</f>
        <v>6509993085</v>
      </c>
      <c r="G44" s="17">
        <f>G34+G42</f>
        <v>6548393085</v>
      </c>
      <c r="H44" s="17">
        <f>H34+H42</f>
        <v>6339351041</v>
      </c>
      <c r="I44" s="14">
        <f>G44-H44</f>
        <v>209042044</v>
      </c>
      <c r="J44" s="20">
        <f>IF(H44=0,0,I44/ABS(H44))</f>
        <v>0.03297530656497998</v>
      </c>
    </row>
    <row r="45" spans="1:13">
      <c r="A45" s="21" t="s">
        <v>87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>
      <c r="B46" s="18" t="s">
        <v>184</v>
      </c>
      <c r="C46" s="2" t="s">
        <v>185</v>
      </c>
      <c r="D46" s="22">
        <f>SUM(D47,D48)</f>
        <v>365000000</v>
      </c>
      <c r="E46" s="22">
        <f>SUM(E47,E48)</f>
        <v>0</v>
      </c>
      <c r="F46" s="22">
        <f>SUM(F47,F48)</f>
        <v>0</v>
      </c>
      <c r="G46" s="22">
        <f>SUM(G47,G48)</f>
        <v>365000000</v>
      </c>
      <c r="H46" s="22">
        <f>SUM(H47,H48)</f>
        <v>350000000</v>
      </c>
      <c r="I46" s="14">
        <f>G46-H46</f>
        <v>15000000</v>
      </c>
      <c r="J46" s="20">
        <f>IF(H46=0,0,I46/ABS(H46))</f>
        <v>0.04285714285714286</v>
      </c>
    </row>
    <row r="47" spans="1:13">
      <c r="A47" s="10">
        <v>33100</v>
      </c>
      <c r="B47" t="s">
        <v>86</v>
      </c>
      <c r="C47" s="2" t="s">
        <v>86</v>
      </c>
      <c r="D47" s="13">
        <f>-'TB'!E30</f>
        <v>200000000</v>
      </c>
      <c r="E47" s="13">
        <f>'TB'!F30</f>
        <v>0</v>
      </c>
      <c r="F47" s="13">
        <f>'TB'!G30</f>
        <v>0</v>
      </c>
      <c r="G47" s="14">
        <f>D47-E47+F47</f>
        <v>200000000</v>
      </c>
      <c r="H47" s="13">
        <f>-'TB'!I30</f>
        <v>200000000</v>
      </c>
      <c r="I47" s="14">
        <f>G47-H47</f>
        <v>0</v>
      </c>
      <c r="J47" s="20">
        <f>IF(H47=0,0,I47/ABS(H47))</f>
        <v>0.0</v>
      </c>
      <c r="K47" s="23">
        <f>IF(AND(ABS(I47)&gt;=$K$3,OR(H47=0,ABS(J47)&gt;=$K$4)),"설명 필요","")</f>
        <v/>
      </c>
      <c r="M47" s="11" t="s">
        <v>88</v>
      </c>
    </row>
    <row r="48" spans="1:13">
      <c r="A48" s="10">
        <v>33200</v>
      </c>
      <c r="B48" t="s">
        <v>89</v>
      </c>
      <c r="C48" s="2" t="s">
        <v>89</v>
      </c>
      <c r="D48" s="13">
        <f>-'TB'!E31</f>
        <v>165000000</v>
      </c>
      <c r="E48" s="13">
        <f>'TB'!F31</f>
        <v>0</v>
      </c>
      <c r="F48" s="13">
        <f>'TB'!G31</f>
        <v>0</v>
      </c>
      <c r="G48" s="14">
        <f>D48-E48+F48</f>
        <v>165000000</v>
      </c>
      <c r="H48" s="13">
        <f>-'TB'!I31</f>
        <v>150000000</v>
      </c>
      <c r="I48" s="14">
        <f>G48-H48</f>
        <v>15000000</v>
      </c>
      <c r="J48" s="20">
        <f>IF(H48=0,0,I48/ABS(H48))</f>
        <v>0.1</v>
      </c>
      <c r="K48" s="23">
        <f>IF(AND(ABS(I48)&gt;=$K$3,OR(H48=0,ABS(J48)&gt;=$K$4)),"설명 필요","")</f>
        <v/>
      </c>
      <c r="M48" s="11" t="s">
        <v>88</v>
      </c>
    </row>
    <row r="49" spans="1:13">
      <c r="B49" s="18" t="s">
        <v>186</v>
      </c>
      <c r="C49" s="2" t="s">
        <v>187</v>
      </c>
      <c r="D49" s="22">
        <f>SUM(D50)</f>
        <v>29785000000</v>
      </c>
      <c r="E49" s="22">
        <f>SUM(E50)</f>
        <v>0</v>
      </c>
      <c r="F49" s="22">
        <f>SUM(F50)</f>
        <v>0</v>
      </c>
      <c r="G49" s="22">
        <f>SUM(G50)</f>
        <v>29785000000</v>
      </c>
      <c r="H49" s="22">
        <f>SUM(H50)</f>
        <v>26800000000</v>
      </c>
      <c r="I49" s="14">
        <f>G49-H49</f>
        <v>2985000000</v>
      </c>
      <c r="J49" s="20">
        <f>IF(H49=0,0,I49/ABS(H49))</f>
        <v>0.11138059701492538</v>
      </c>
    </row>
    <row r="50" spans="1:13">
      <c r="A50" s="10">
        <v>34100</v>
      </c>
      <c r="B50" t="s">
        <v>90</v>
      </c>
      <c r="C50" s="2" t="s">
        <v>90</v>
      </c>
      <c r="D50" s="13">
        <f>-'TB'!E32</f>
        <v>29785000000</v>
      </c>
      <c r="E50" s="13">
        <f>'TB'!F32</f>
        <v>0</v>
      </c>
      <c r="F50" s="13">
        <f>'TB'!G32</f>
        <v>0</v>
      </c>
      <c r="G50" s="14">
        <f>D50-E50+F50</f>
        <v>29785000000</v>
      </c>
      <c r="H50" s="13">
        <f>-'TB'!I32</f>
        <v>26800000000</v>
      </c>
      <c r="I50" s="14">
        <f>G50-H50</f>
        <v>2985000000</v>
      </c>
      <c r="J50" s="20">
        <f>IF(H50=0,0,I50/ABS(H50))</f>
        <v>0.11138059701492538</v>
      </c>
      <c r="K50" s="23" t="str">
        <f>IF(AND(ABS(I50)&gt;=$K$3,OR(H50=0,ABS(J50)&gt;=$K$4)),"설명 필요","")</f>
        <v>설명 필요</v>
      </c>
      <c r="M50" s="11" t="s">
        <v>88</v>
      </c>
    </row>
    <row r="51" spans="1:13">
      <c r="B51" s="18" t="s">
        <v>188</v>
      </c>
      <c r="C51" s="2" t="s">
        <v>189</v>
      </c>
      <c r="D51" s="22">
        <f>SUM(D52)</f>
        <v>420000000</v>
      </c>
      <c r="E51" s="22">
        <f>SUM(E52)</f>
        <v>0</v>
      </c>
      <c r="F51" s="22">
        <f>SUM(F52)</f>
        <v>0</v>
      </c>
      <c r="G51" s="22">
        <f>SUM(G52)</f>
        <v>420000000</v>
      </c>
      <c r="H51" s="22">
        <f>SUM(H52)</f>
        <v>240000000</v>
      </c>
      <c r="I51" s="14">
        <f>G51-H51</f>
        <v>180000000</v>
      </c>
      <c r="J51" s="20">
        <f>IF(H51=0,0,I51/ABS(H51))</f>
        <v>0.75</v>
      </c>
    </row>
    <row r="52" spans="1:13">
      <c r="A52" s="10">
        <v>38900</v>
      </c>
      <c r="B52" t="s">
        <v>91</v>
      </c>
      <c r="C52" s="2" t="s">
        <v>91</v>
      </c>
      <c r="D52" s="13">
        <f>-'TB'!E33</f>
        <v>420000000</v>
      </c>
      <c r="E52" s="13">
        <f>'TB'!F33</f>
        <v>0</v>
      </c>
      <c r="F52" s="13">
        <f>'TB'!G33</f>
        <v>0</v>
      </c>
      <c r="G52" s="14">
        <f>D52-E52+F52</f>
        <v>420000000</v>
      </c>
      <c r="H52" s="13">
        <f>-'TB'!I33</f>
        <v>240000000</v>
      </c>
      <c r="I52" s="14">
        <f>G52-H52</f>
        <v>180000000</v>
      </c>
      <c r="J52" s="20">
        <f>IF(H52=0,0,I52/ABS(H52))</f>
        <v>0.75</v>
      </c>
      <c r="K52" s="23" t="str">
        <f>IF(AND(ABS(I52)&gt;=$K$3,OR(H52=0,ABS(J52)&gt;=$K$4)),"설명 필요","")</f>
        <v>설명 필요</v>
      </c>
      <c r="M52" s="11" t="s">
        <v>88</v>
      </c>
    </row>
    <row r="53" spans="1:13">
      <c r="B53" s="18" t="s">
        <v>190</v>
      </c>
      <c r="C53" s="2" t="s">
        <v>191</v>
      </c>
      <c r="D53" s="22">
        <f>SUM(D54,D55)</f>
        <v>-27743296834</v>
      </c>
      <c r="E53" s="22">
        <f>SUM(E54,E55)</f>
        <v>0</v>
      </c>
      <c r="F53" s="22">
        <f>SUM(F54,F55)</f>
        <v>0</v>
      </c>
      <c r="G53" s="22">
        <f>SUM(G54,G55)</f>
        <v>-27733168067</v>
      </c>
      <c r="H53" s="22">
        <f>SUM(H54,H55)</f>
        <v>-23314373196</v>
      </c>
      <c r="I53" s="14">
        <f>G53-H53</f>
        <v>-4418794871</v>
      </c>
      <c r="J53" s="20">
        <f>IF(H53=0,0,I53/ABS(H53))</f>
        <v>-0.18953093157821305</v>
      </c>
    </row>
    <row r="54" spans="1:13">
      <c r="A54" s="10">
        <v>37700</v>
      </c>
      <c r="B54" t="s">
        <v>92</v>
      </c>
      <c r="C54" s="2" t="s">
        <v>92</v>
      </c>
      <c r="D54" s="13">
        <f>-'TB'!E34</f>
        <v>-23314373196</v>
      </c>
      <c r="E54" s="13">
        <f>'TB'!F34</f>
        <v>0</v>
      </c>
      <c r="F54" s="13">
        <f>'TB'!G34</f>
        <v>0</v>
      </c>
      <c r="G54" s="14">
        <f>D54-E54+F54</f>
        <v>-23314373196</v>
      </c>
      <c r="H54" s="13">
        <f>-('TB'!I34+SUM('TB'!I35:'TB'!I61))</f>
        <v>-23314373196</v>
      </c>
      <c r="I54" s="14">
        <f>G54-H54</f>
        <v>0</v>
      </c>
      <c r="J54" s="20">
        <f>IF(H54=0,0,I54/ABS(H54))</f>
        <v>0.0</v>
      </c>
      <c r="K54" s="23">
        <f>IF(AND(ABS(I54)&gt;=$K$3,OR(H54=0,ABS(J54)&gt;=$K$4)),"설명 필요","")</f>
        <v/>
      </c>
      <c r="M54" s="11" t="s">
        <v>88</v>
      </c>
    </row>
    <row r="55" spans="1:13">
      <c r="B55" s="2" t="s">
        <v>192</v>
      </c>
      <c r="C55" s="2" t="s">
        <v>92</v>
      </c>
      <c r="D55" s="13">
        <f>'손익계산서'!E43</f>
        <v>-4428923638</v>
      </c>
      <c r="G55" s="13">
        <f>'손익계산서'!H43</f>
        <v>-4418794871</v>
      </c>
    </row>
    <row r="56" spans="1:13">
      <c r="B56" s="16" t="s">
        <v>193</v>
      </c>
      <c r="D56" s="17">
        <f>D46+D49+D51+D53</f>
        <v>2826703166</v>
      </c>
      <c r="G56" s="17">
        <f>G46+G49+G51+G53</f>
        <v>2836831933</v>
      </c>
      <c r="H56" s="17">
        <f>H46+H49+H51+H53</f>
        <v>4075626804</v>
      </c>
      <c r="I56" s="14">
        <f>G56-H56</f>
        <v>-1238794871</v>
      </c>
      <c r="J56" s="20">
        <f>IF(H56=0,0,I56/ABS(H56))</f>
        <v>-0.3039519883872076</v>
      </c>
    </row>
    <row r="57" spans="1:13">
      <c r="B57" s="16" t="s">
        <v>194</v>
      </c>
      <c r="D57" s="17">
        <f>D44+D56</f>
        <v>9336696251</v>
      </c>
      <c r="G57" s="17">
        <f>G44+G56</f>
        <v>9385225018</v>
      </c>
      <c r="H57" s="17">
        <f>H44+H56</f>
        <v>10414977845</v>
      </c>
      <c r="I57" s="14">
        <f>G57-H57</f>
        <v>-1029752827</v>
      </c>
      <c r="J57" s="20">
        <f>IF(H57=0,0,I57/ABS(H57))</f>
        <v>-0.09887230124972003</v>
      </c>
    </row>
    <row r="59" spans="1:13">
      <c r="B59" s="18" t="s">
        <v>195</v>
      </c>
      <c r="D59" s="19" t="str">
        <f>IF(ROUND(D32-D57,0)=0,"OK","Imbalanced")</f>
        <v>OK</v>
      </c>
      <c r="G59" s="19" t="str">
        <f>IF(ROUND(G32-G57,0)=0,"OK","Imbalanced")</f>
        <v>OK</v>
      </c>
      <c r="H59" s="19" t="str">
        <f>IF(ROUND(H32-H57,0)=0,"OK","Imbalanced")</f>
        <v>OK</v>
      </c>
    </row>
  </sheetData>
  <mergeCells count="3">
    <mergeCell ref="A7:M7"/>
    <mergeCell ref="A33:M33"/>
    <mergeCell ref="A45:M45"/>
  </mergeCells>
  <pageMargins left="0.4" right="0.4" top="0.5" bottom="0.5" header="0.3" footer="0.3"/>
  <pageSetup paperSize="9" fitToHeight="0" orientation="landscape"/>
  <headerFooter>
    <oddFooter>&amp;L&amp;8도담소프트(가상) 전기조서 WTB 2024&amp;C&amp;8&amp;A&amp;R&amp;8&amp;P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5597"/>
    <pageSetUpPr fitToPage="1"/>
  </sheetPr>
  <dimension ref="A1:N43"/>
  <sheetViews>
    <sheetView showGridLines="0" zoomScale="90" zoomScaleNormal="90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1" width="8.7109375" customWidth="1"/>
    <col min="2" max="2" width="26.7109375" customWidth="1"/>
    <col min="3" max="3" width="22.7109375" customWidth="1"/>
    <col min="4" max="4" width="9.7109375" customWidth="1"/>
    <col min="5" max="10" width="16.7109375" customWidth="1"/>
    <col min="11" max="11" width="8.7109375" customWidth="1"/>
    <col min="12" max="12" width="10.7109375" customWidth="1"/>
    <col min="13" max="14" width="9.7109375" customWidth="1"/>
  </cols>
  <sheetData>
    <row r="1" spans="1:14">
      <c r="A1" s="1" t="s">
        <v>123</v>
      </c>
    </row>
    <row r="2" spans="1:14">
      <c r="A2" s="2" t="s">
        <v>124</v>
      </c>
    </row>
    <row r="3" spans="1:14">
      <c r="K3" s="2" t="s">
        <v>125</v>
      </c>
      <c r="L3" s="13">
        <f>'표지'!$C$17</f>
        <v>74925000</v>
      </c>
    </row>
    <row r="4" spans="1:14">
      <c r="K4" s="2" t="s">
        <v>126</v>
      </c>
      <c r="L4" s="20">
        <v>0.1</v>
      </c>
    </row>
    <row r="6" spans="1:14" ht="28" customHeight="1">
      <c r="A6" s="6" t="s">
        <v>127</v>
      </c>
      <c r="B6" s="6" t="s">
        <v>128</v>
      </c>
      <c r="C6" s="6" t="s">
        <v>129</v>
      </c>
      <c r="D6" s="6" t="s">
        <v>130</v>
      </c>
      <c r="E6" s="6" t="s">
        <v>131</v>
      </c>
      <c r="F6" s="6" t="s">
        <v>45</v>
      </c>
      <c r="G6" s="6" t="s">
        <v>46</v>
      </c>
      <c r="H6" s="6" t="s">
        <v>132</v>
      </c>
      <c r="I6" s="6" t="s">
        <v>133</v>
      </c>
      <c r="J6" s="6" t="s">
        <v>134</v>
      </c>
      <c r="K6" s="6" t="s">
        <v>135</v>
      </c>
      <c r="L6" s="6" t="s">
        <v>136</v>
      </c>
      <c r="M6" s="6" t="s">
        <v>137</v>
      </c>
      <c r="N6" s="6" t="s">
        <v>11</v>
      </c>
    </row>
    <row r="7" spans="1:14">
      <c r="B7" s="18" t="s">
        <v>138</v>
      </c>
      <c r="C7" s="2" t="s">
        <v>139</v>
      </c>
      <c r="E7" s="22">
        <f>SUM(E8,E9)</f>
        <v>9990547268</v>
      </c>
      <c r="F7" s="22">
        <f>SUM(F8,F9)</f>
        <v>0</v>
      </c>
      <c r="G7" s="22">
        <f>SUM(G8,G9)</f>
        <v>0</v>
      </c>
      <c r="H7" s="22">
        <f>SUM(H8,H9)</f>
        <v>9990547268</v>
      </c>
      <c r="I7" s="22">
        <f>SUM(I8,I9)</f>
        <v>8526408762</v>
      </c>
      <c r="J7" s="14">
        <f>H7-I7</f>
        <v>1464138506</v>
      </c>
      <c r="K7" s="20">
        <f>IF(I7=0,0,J7/ABS(I7))</f>
        <v>0.17171807578886986</v>
      </c>
    </row>
    <row r="8" spans="1:14">
      <c r="A8" s="10">
        <v>41501</v>
      </c>
      <c r="B8" t="s">
        <v>93</v>
      </c>
      <c r="C8" s="2" t="s">
        <v>93</v>
      </c>
      <c r="D8" s="11" t="s">
        <v>140</v>
      </c>
      <c r="E8" s="13">
        <f>-'TB'!E35</f>
        <v>8175103384</v>
      </c>
      <c r="F8" s="13">
        <f>'TB'!F35</f>
        <v>0</v>
      </c>
      <c r="G8" s="13">
        <f>'TB'!G35</f>
        <v>0</v>
      </c>
      <c r="H8" s="14">
        <f>E8-F8+G8</f>
        <v>8175103384</v>
      </c>
      <c r="I8" s="13">
        <f>-'TB'!I35</f>
        <v>7008516131</v>
      </c>
      <c r="J8" s="14">
        <f>H8-I8</f>
        <v>1166587253</v>
      </c>
      <c r="K8" s="20">
        <f>IF(I8=0,0,J8/ABS(I8))</f>
        <v>0.16645281700072898</v>
      </c>
      <c r="L8" s="23" t="str">
        <f>IF(AND(ABS(J8)&gt;=$L$3,OR(I8=0,ABS(K8)&gt;=$L$4)),"설명 필요","")</f>
        <v>설명 필요</v>
      </c>
      <c r="N8" s="11" t="s">
        <v>82</v>
      </c>
    </row>
    <row r="9" spans="1:14">
      <c r="A9" s="10">
        <v>41502</v>
      </c>
      <c r="B9" t="s">
        <v>95</v>
      </c>
      <c r="C9" s="2" t="s">
        <v>95</v>
      </c>
      <c r="D9" s="11" t="s">
        <v>140</v>
      </c>
      <c r="E9" s="13">
        <f>-'TB'!E36</f>
        <v>1815443884</v>
      </c>
      <c r="F9" s="13">
        <f>'TB'!F36</f>
        <v>0</v>
      </c>
      <c r="G9" s="13">
        <f>'TB'!G36</f>
        <v>0</v>
      </c>
      <c r="H9" s="14">
        <f>E9-F9+G9</f>
        <v>1815443884</v>
      </c>
      <c r="I9" s="13">
        <f>-'TB'!I36</f>
        <v>1517892631</v>
      </c>
      <c r="J9" s="14">
        <f>H9-I9</f>
        <v>297551253</v>
      </c>
      <c r="K9" s="20">
        <f>IF(I9=0,0,J9/ABS(I9))</f>
        <v>0.19602918343702005</v>
      </c>
      <c r="L9" s="23" t="str">
        <f>IF(AND(ABS(J9)&gt;=$L$3,OR(I9=0,ABS(K9)&gt;=$L$4)),"설명 필요","")</f>
        <v>설명 필요</v>
      </c>
      <c r="N9" s="11" t="s">
        <v>82</v>
      </c>
    </row>
    <row r="10" spans="1:14">
      <c r="B10" s="18" t="s">
        <v>141</v>
      </c>
      <c r="C10" s="2" t="s">
        <v>142</v>
      </c>
      <c r="E10" s="22">
        <f>SUM(E11)</f>
        <v>2363760000</v>
      </c>
      <c r="F10" s="22">
        <f>SUM(F11)</f>
        <v>38400000</v>
      </c>
      <c r="G10" s="22">
        <f>SUM(G11)</f>
        <v>0</v>
      </c>
      <c r="H10" s="22">
        <f>SUM(H11)</f>
        <v>2402160000</v>
      </c>
      <c r="I10" s="22">
        <f>SUM(I11)</f>
        <v>1973374440</v>
      </c>
      <c r="J10" s="14">
        <f>H10-I10</f>
        <v>428785560</v>
      </c>
      <c r="K10" s="20">
        <f>IF(I10=0,0,J10/ABS(I10))</f>
        <v>0.2172854534388314</v>
      </c>
    </row>
    <row r="11" spans="1:14">
      <c r="A11" s="10">
        <v>45200</v>
      </c>
      <c r="B11" t="s">
        <v>20</v>
      </c>
      <c r="C11" s="2" t="s">
        <v>20</v>
      </c>
      <c r="D11" s="11" t="s">
        <v>143</v>
      </c>
      <c r="E11" s="13">
        <f>'TB'!E37</f>
        <v>2363760000</v>
      </c>
      <c r="F11" s="13">
        <f>'TB'!F37</f>
        <v>38400000</v>
      </c>
      <c r="G11" s="13">
        <f>'TB'!G37</f>
        <v>0</v>
      </c>
      <c r="H11" s="14">
        <f>E11+F11-G11</f>
        <v>2402160000</v>
      </c>
      <c r="I11" s="13">
        <f>'TB'!I37</f>
        <v>1973374440</v>
      </c>
      <c r="J11" s="14">
        <f>H11-I11</f>
        <v>428785560</v>
      </c>
      <c r="K11" s="20">
        <f>IF(I11=0,0,J11/ABS(I11))</f>
        <v>0.2172854534388314</v>
      </c>
      <c r="L11" s="23" t="str">
        <f>IF(AND(ABS(J11)&gt;=$L$3,OR(I11=0,ABS(K11)&gt;=$L$4)),"설명 필요","")</f>
        <v>설명 필요</v>
      </c>
      <c r="M11" s="11" t="s">
        <v>144</v>
      </c>
      <c r="N11" s="11" t="s">
        <v>97</v>
      </c>
    </row>
    <row r="12" spans="1:14">
      <c r="B12" s="24" t="s">
        <v>145</v>
      </c>
      <c r="E12" s="25">
        <f>E7-E10</f>
        <v>7626787268</v>
      </c>
      <c r="H12" s="25">
        <f>H7-H10</f>
        <v>7588387268</v>
      </c>
      <c r="I12" s="25">
        <f>I7-I10</f>
        <v>6553034322</v>
      </c>
      <c r="J12" s="14">
        <f>H12-I12</f>
        <v>1035352946</v>
      </c>
      <c r="K12" s="20">
        <f>IF(I12=0,0,J12/ABS(I12))</f>
        <v>0.15799595960059126</v>
      </c>
    </row>
    <row r="13" spans="1:14">
      <c r="B13" s="18" t="s">
        <v>146</v>
      </c>
      <c r="C13" s="2" t="s">
        <v>147</v>
      </c>
      <c r="E13" s="22">
        <f>SUM(E14,E15,E16,E17,E18,E19,E20,E21,E22,E23,E24,E25,E26,E27,E28,E29,E30,E31,E32)</f>
        <v>11939296577</v>
      </c>
      <c r="F13" s="22">
        <f>SUM(F14,F15,F16,F17,F18,F19,F20,F21,F22,F23,F24,F25,F26,F27,F28,F29,F30,F31,F32)</f>
        <v>0</v>
      </c>
      <c r="G13" s="22">
        <f>SUM(G14,G15,G16,G17,G18,G19,G20,G21,G22,G23,G24,G25,G26,G27,G28,G29,G30,G31,G32)</f>
        <v>45000000</v>
      </c>
      <c r="H13" s="22">
        <f>SUM(H14,H15,H16,H17,H18,H19,H20,H21,H22,H23,H24,H25,H26,H27,H28,H29,H30,H31,H32)</f>
        <v>11894296577</v>
      </c>
      <c r="I13" s="22">
        <f>SUM(I14,I15,I16,I17,I18,I19,I20,I21,I22,I23,I24,I25,I26,I27,I28,I29,I30,I31,I32)</f>
        <v>10115191863</v>
      </c>
      <c r="J13" s="14">
        <f>H13-I13</f>
        <v>1779104714</v>
      </c>
      <c r="K13" s="20">
        <f>IF(I13=0,0,J13/ABS(I13))</f>
        <v>0.17588442593043874</v>
      </c>
    </row>
    <row r="14" spans="1:14">
      <c r="A14" s="10">
        <v>80200</v>
      </c>
      <c r="B14" t="s">
        <v>98</v>
      </c>
      <c r="C14" s="2" t="s">
        <v>99</v>
      </c>
      <c r="D14" s="11" t="s">
        <v>148</v>
      </c>
      <c r="E14" s="13">
        <f>'TB'!E38</f>
        <v>3609528000</v>
      </c>
      <c r="F14" s="13">
        <f>'TB'!F38</f>
        <v>0</v>
      </c>
      <c r="G14" s="13">
        <f>'TB'!G38</f>
        <v>0</v>
      </c>
      <c r="H14" s="14">
        <f>E14+F14-G14</f>
        <v>3609528000</v>
      </c>
      <c r="I14" s="13">
        <f>'TB'!I38</f>
        <v>3108525513</v>
      </c>
      <c r="J14" s="14">
        <f>H14-I14</f>
        <v>501002487</v>
      </c>
      <c r="K14" s="20">
        <f>IF(I14=0,0,J14/ABS(I14))</f>
        <v>0.1611704600476284</v>
      </c>
      <c r="L14" s="23" t="str">
        <f>IF(AND(ABS(J14)&gt;=$L$3,OR(I14=0,ABS(K14)&gt;=$L$4)),"설명 필요","")</f>
        <v>설명 필요</v>
      </c>
      <c r="N14" s="11" t="s">
        <v>100</v>
      </c>
    </row>
    <row r="15" spans="1:14">
      <c r="A15" s="10">
        <v>80300</v>
      </c>
      <c r="B15" t="s">
        <v>101</v>
      </c>
      <c r="C15" s="2" t="s">
        <v>101</v>
      </c>
      <c r="D15" s="11" t="s">
        <v>148</v>
      </c>
      <c r="E15" s="13">
        <f>'TB'!E39</f>
        <v>240000000</v>
      </c>
      <c r="F15" s="13">
        <f>'TB'!F39</f>
        <v>0</v>
      </c>
      <c r="G15" s="13">
        <f>'TB'!G39</f>
        <v>0</v>
      </c>
      <c r="H15" s="14">
        <f>E15+F15-G15</f>
        <v>240000000</v>
      </c>
      <c r="I15" s="13">
        <f>'TB'!I39</f>
        <v>186000000</v>
      </c>
      <c r="J15" s="14">
        <f>H15-I15</f>
        <v>54000000</v>
      </c>
      <c r="K15" s="20">
        <f>IF(I15=0,0,J15/ABS(I15))</f>
        <v>0.2903225806451613</v>
      </c>
      <c r="L15" s="23">
        <f>IF(AND(ABS(J15)&gt;=$L$3,OR(I15=0,ABS(K15)&gt;=$L$4)),"설명 필요","")</f>
        <v/>
      </c>
      <c r="N15" s="11" t="s">
        <v>100</v>
      </c>
    </row>
    <row r="16" spans="1:14">
      <c r="A16" s="10">
        <v>80600</v>
      </c>
      <c r="B16" t="s">
        <v>102</v>
      </c>
      <c r="C16" s="2" t="s">
        <v>102</v>
      </c>
      <c r="D16" s="11" t="s">
        <v>148</v>
      </c>
      <c r="E16" s="13">
        <f>'TB'!E40</f>
        <v>300793996</v>
      </c>
      <c r="F16" s="13">
        <f>'TB'!F40</f>
        <v>0</v>
      </c>
      <c r="G16" s="13">
        <f>'TB'!G40</f>
        <v>0</v>
      </c>
      <c r="H16" s="14">
        <f>E16+F16-G16</f>
        <v>300793996</v>
      </c>
      <c r="I16" s="13">
        <f>'TB'!I40</f>
        <v>259043789</v>
      </c>
      <c r="J16" s="14">
        <f>H16-I16</f>
        <v>41750207</v>
      </c>
      <c r="K16" s="20">
        <f>IF(I16=0,0,J16/ABS(I16))</f>
        <v>0.16117046141569524</v>
      </c>
      <c r="L16" s="23">
        <f>IF(AND(ABS(J16)&gt;=$L$3,OR(I16=0,ABS(K16)&gt;=$L$4)),"설명 필요","")</f>
        <v/>
      </c>
      <c r="N16" s="11" t="s">
        <v>100</v>
      </c>
    </row>
    <row r="17" spans="1:14">
      <c r="A17" s="10">
        <v>81100</v>
      </c>
      <c r="B17" t="s">
        <v>103</v>
      </c>
      <c r="C17" s="2" t="s">
        <v>103</v>
      </c>
      <c r="D17" s="11" t="s">
        <v>148</v>
      </c>
      <c r="E17" s="13">
        <f>'TB'!E41</f>
        <v>597765320</v>
      </c>
      <c r="F17" s="13">
        <f>'TB'!F41</f>
        <v>0</v>
      </c>
      <c r="G17" s="13">
        <f>'TB'!G41</f>
        <v>0</v>
      </c>
      <c r="H17" s="14">
        <f>E17+F17-G17</f>
        <v>597765320</v>
      </c>
      <c r="I17" s="13">
        <f>'TB'!I41</f>
        <v>504334600</v>
      </c>
      <c r="J17" s="14">
        <f>H17-I17</f>
        <v>93430720</v>
      </c>
      <c r="K17" s="20">
        <f>IF(I17=0,0,J17/ABS(I17))</f>
        <v>0.18525542368102446</v>
      </c>
      <c r="L17" s="23" t="str">
        <f>IF(AND(ABS(J17)&gt;=$L$3,OR(I17=0,ABS(K17)&gt;=$L$4)),"설명 필요","")</f>
        <v>설명 필요</v>
      </c>
      <c r="N17" s="11" t="s">
        <v>100</v>
      </c>
    </row>
    <row r="18" spans="1:14">
      <c r="A18" s="10">
        <v>81200</v>
      </c>
      <c r="B18" t="s">
        <v>104</v>
      </c>
      <c r="C18" s="2" t="s">
        <v>104</v>
      </c>
      <c r="D18" s="11" t="s">
        <v>148</v>
      </c>
      <c r="E18" s="13">
        <f>'TB'!E42</f>
        <v>120960000</v>
      </c>
      <c r="F18" s="13">
        <f>'TB'!F42</f>
        <v>0</v>
      </c>
      <c r="G18" s="13">
        <f>'TB'!G42</f>
        <v>0</v>
      </c>
      <c r="H18" s="14">
        <f>E18+F18-G18</f>
        <v>120960000</v>
      </c>
      <c r="I18" s="13">
        <f>'TB'!I42</f>
        <v>99078336</v>
      </c>
      <c r="J18" s="14">
        <f>H18-I18</f>
        <v>21881664</v>
      </c>
      <c r="K18" s="20">
        <f>IF(I18=0,0,J18/ABS(I18))</f>
        <v>0.22085215480405324</v>
      </c>
      <c r="L18" s="23">
        <f>IF(AND(ABS(J18)&gt;=$L$3,OR(I18=0,ABS(K18)&gt;=$L$4)),"설명 필요","")</f>
        <v/>
      </c>
      <c r="N18" s="11" t="s">
        <v>100</v>
      </c>
    </row>
    <row r="19" spans="1:14">
      <c r="A19" s="10">
        <v>81300</v>
      </c>
      <c r="B19" t="s">
        <v>105</v>
      </c>
      <c r="C19" s="2" t="s">
        <v>105</v>
      </c>
      <c r="D19" s="11" t="s">
        <v>148</v>
      </c>
      <c r="E19" s="13">
        <f>'TB'!E43</f>
        <v>60480000</v>
      </c>
      <c r="F19" s="13">
        <f>'TB'!F43</f>
        <v>0</v>
      </c>
      <c r="G19" s="13">
        <f>'TB'!G43</f>
        <v>0</v>
      </c>
      <c r="H19" s="14">
        <f>E19+F19-G19</f>
        <v>60480000</v>
      </c>
      <c r="I19" s="13">
        <f>'TB'!I43</f>
        <v>50004864</v>
      </c>
      <c r="J19" s="14">
        <f>H19-I19</f>
        <v>10475136</v>
      </c>
      <c r="K19" s="20">
        <f>IF(I19=0,0,J19/ABS(I19))</f>
        <v>0.20948234155781326</v>
      </c>
      <c r="L19" s="23">
        <f>IF(AND(ABS(J19)&gt;=$L$3,OR(I19=0,ABS(K19)&gt;=$L$4)),"설명 필요","")</f>
        <v/>
      </c>
      <c r="N19" s="11" t="s">
        <v>100</v>
      </c>
    </row>
    <row r="20" spans="1:14">
      <c r="A20" s="10">
        <v>81400</v>
      </c>
      <c r="B20" t="s">
        <v>106</v>
      </c>
      <c r="C20" s="2" t="s">
        <v>106</v>
      </c>
      <c r="D20" s="11" t="s">
        <v>148</v>
      </c>
      <c r="E20" s="13">
        <f>'TB'!E44</f>
        <v>60480000</v>
      </c>
      <c r="F20" s="13">
        <f>'TB'!F44</f>
        <v>0</v>
      </c>
      <c r="G20" s="13">
        <f>'TB'!G44</f>
        <v>0</v>
      </c>
      <c r="H20" s="14">
        <f>E20+F20-G20</f>
        <v>60480000</v>
      </c>
      <c r="I20" s="13">
        <f>'TB'!I44</f>
        <v>54643680</v>
      </c>
      <c r="J20" s="14">
        <f>H20-I20</f>
        <v>5836320</v>
      </c>
      <c r="K20" s="20">
        <f>IF(I20=0,0,J20/ABS(I20))</f>
        <v>0.10680686220254565</v>
      </c>
      <c r="L20" s="23">
        <f>IF(AND(ABS(J20)&gt;=$L$3,OR(I20=0,ABS(K20)&gt;=$L$4)),"설명 필요","")</f>
        <v/>
      </c>
      <c r="N20" s="11" t="s">
        <v>100</v>
      </c>
    </row>
    <row r="21" spans="1:14">
      <c r="A21" s="10">
        <v>81700</v>
      </c>
      <c r="B21" t="s">
        <v>107</v>
      </c>
      <c r="C21" s="2" t="s">
        <v>107</v>
      </c>
      <c r="D21" s="11" t="s">
        <v>148</v>
      </c>
      <c r="E21" s="13">
        <f>'TB'!E45</f>
        <v>330632820</v>
      </c>
      <c r="F21" s="13">
        <f>'TB'!F45</f>
        <v>0</v>
      </c>
      <c r="G21" s="13">
        <f>'TB'!G45</f>
        <v>0</v>
      </c>
      <c r="H21" s="14">
        <f>E21+F21-G21</f>
        <v>330632820</v>
      </c>
      <c r="I21" s="13">
        <f>'TB'!I45</f>
        <v>282988630</v>
      </c>
      <c r="J21" s="14">
        <f>H21-I21</f>
        <v>47644190</v>
      </c>
      <c r="K21" s="20">
        <f>IF(I21=0,0,J21/ABS(I21))</f>
        <v>0.16836079244597213</v>
      </c>
      <c r="L21" s="23">
        <f>IF(AND(ABS(J21)&gt;=$L$3,OR(I21=0,ABS(K21)&gt;=$L$4)),"설명 필요","")</f>
        <v/>
      </c>
      <c r="N21" s="11" t="s">
        <v>100</v>
      </c>
    </row>
    <row r="22" spans="1:14">
      <c r="A22" s="10">
        <v>81800</v>
      </c>
      <c r="B22" t="s">
        <v>108</v>
      </c>
      <c r="C22" s="2" t="s">
        <v>108</v>
      </c>
      <c r="D22" s="11" t="s">
        <v>148</v>
      </c>
      <c r="E22" s="13">
        <f>'TB'!E46</f>
        <v>437310318</v>
      </c>
      <c r="F22" s="13">
        <f>'TB'!F46</f>
        <v>0</v>
      </c>
      <c r="G22" s="13">
        <f>'TB'!G46</f>
        <v>0</v>
      </c>
      <c r="H22" s="14">
        <f>E22+F22-G22</f>
        <v>437310318</v>
      </c>
      <c r="I22" s="13">
        <f>'TB'!I46</f>
        <v>385458225</v>
      </c>
      <c r="J22" s="14">
        <f>H22-I22</f>
        <v>51852093</v>
      </c>
      <c r="K22" s="20">
        <f>IF(I22=0,0,J22/ABS(I22))</f>
        <v>0.13452065525388646</v>
      </c>
      <c r="L22" s="23">
        <f>IF(AND(ABS(J22)&gt;=$L$3,OR(I22=0,ABS(K22)&gt;=$L$4)),"설명 필요","")</f>
        <v/>
      </c>
      <c r="N22" s="11" t="s">
        <v>100</v>
      </c>
    </row>
    <row r="23" spans="1:14">
      <c r="A23" s="10">
        <v>81900</v>
      </c>
      <c r="B23" t="s">
        <v>109</v>
      </c>
      <c r="C23" s="2" t="s">
        <v>109</v>
      </c>
      <c r="D23" s="11" t="s">
        <v>148</v>
      </c>
      <c r="E23" s="13">
        <f>'TB'!E47</f>
        <v>410160000</v>
      </c>
      <c r="F23" s="13">
        <f>'TB'!F47</f>
        <v>0</v>
      </c>
      <c r="G23" s="13">
        <f>'TB'!G47</f>
        <v>0</v>
      </c>
      <c r="H23" s="14">
        <f>E23+F23-G23</f>
        <v>410160000</v>
      </c>
      <c r="I23" s="13">
        <f>'TB'!I47</f>
        <v>386160000</v>
      </c>
      <c r="J23" s="14">
        <f>H23-I23</f>
        <v>24000000</v>
      </c>
      <c r="K23" s="20">
        <f>IF(I23=0,0,J23/ABS(I23))</f>
        <v>0.062150403977625855</v>
      </c>
      <c r="L23" s="23">
        <f>IF(AND(ABS(J23)&gt;=$L$3,OR(I23=0,ABS(K23)&gt;=$L$4)),"설명 필요","")</f>
        <v/>
      </c>
      <c r="N23" s="11" t="s">
        <v>100</v>
      </c>
    </row>
    <row r="24" spans="1:14">
      <c r="A24" s="10">
        <v>82100</v>
      </c>
      <c r="B24" t="s">
        <v>110</v>
      </c>
      <c r="C24" s="2" t="s">
        <v>110</v>
      </c>
      <c r="D24" s="11" t="s">
        <v>148</v>
      </c>
      <c r="E24" s="13">
        <f>'TB'!E48</f>
        <v>152379460</v>
      </c>
      <c r="F24" s="13">
        <f>'TB'!F48</f>
        <v>0</v>
      </c>
      <c r="G24" s="13">
        <f>'TB'!G48</f>
        <v>0</v>
      </c>
      <c r="H24" s="14">
        <f>E24+F24-G24</f>
        <v>152379460</v>
      </c>
      <c r="I24" s="13">
        <f>'TB'!I48</f>
        <v>134794870</v>
      </c>
      <c r="J24" s="14">
        <f>H24-I24</f>
        <v>17584590</v>
      </c>
      <c r="K24" s="20">
        <f>IF(I24=0,0,J24/ABS(I24))</f>
        <v>0.13045444533608735</v>
      </c>
      <c r="L24" s="23">
        <f>IF(AND(ABS(J24)&gt;=$L$3,OR(I24=0,ABS(K24)&gt;=$L$4)),"설명 필요","")</f>
        <v/>
      </c>
      <c r="N24" s="11" t="s">
        <v>100</v>
      </c>
    </row>
    <row r="25" spans="1:14">
      <c r="A25" s="10">
        <v>82200</v>
      </c>
      <c r="B25" t="s">
        <v>111</v>
      </c>
      <c r="C25" s="2" t="s">
        <v>111</v>
      </c>
      <c r="D25" s="11" t="s">
        <v>148</v>
      </c>
      <c r="E25" s="13">
        <f>'TB'!E49</f>
        <v>50400000</v>
      </c>
      <c r="F25" s="13">
        <f>'TB'!F49</f>
        <v>0</v>
      </c>
      <c r="G25" s="13">
        <f>'TB'!G49</f>
        <v>0</v>
      </c>
      <c r="H25" s="14">
        <f>E25+F25-G25</f>
        <v>50400000</v>
      </c>
      <c r="I25" s="13">
        <f>'TB'!I49</f>
        <v>46000080</v>
      </c>
      <c r="J25" s="14">
        <f>H25-I25</f>
        <v>4399920</v>
      </c>
      <c r="K25" s="20">
        <f>IF(I25=0,0,J25/ABS(I25))</f>
        <v>0.09565026843431576</v>
      </c>
      <c r="L25" s="23">
        <f>IF(AND(ABS(J25)&gt;=$L$3,OR(I25=0,ABS(K25)&gt;=$L$4)),"설명 필요","")</f>
        <v/>
      </c>
      <c r="N25" s="11" t="s">
        <v>100</v>
      </c>
    </row>
    <row r="26" spans="1:14">
      <c r="A26" s="10">
        <v>82600</v>
      </c>
      <c r="B26" t="s">
        <v>112</v>
      </c>
      <c r="C26" s="2" t="s">
        <v>112</v>
      </c>
      <c r="D26" s="11" t="s">
        <v>148</v>
      </c>
      <c r="E26" s="13">
        <f>'TB'!E50</f>
        <v>20160000</v>
      </c>
      <c r="F26" s="13">
        <f>'TB'!F50</f>
        <v>0</v>
      </c>
      <c r="G26" s="13">
        <f>'TB'!G50</f>
        <v>0</v>
      </c>
      <c r="H26" s="14">
        <f>E26+F26-G26</f>
        <v>20160000</v>
      </c>
      <c r="I26" s="13">
        <f>'TB'!I50</f>
        <v>17559360</v>
      </c>
      <c r="J26" s="14">
        <f>H26-I26</f>
        <v>2600640</v>
      </c>
      <c r="K26" s="20">
        <f>IF(I26=0,0,J26/ABS(I26))</f>
        <v>0.14810562571756603</v>
      </c>
      <c r="L26" s="23">
        <f>IF(AND(ABS(J26)&gt;=$L$3,OR(I26=0,ABS(K26)&gt;=$L$4)),"설명 필요","")</f>
        <v/>
      </c>
      <c r="N26" s="11" t="s">
        <v>100</v>
      </c>
    </row>
    <row r="27" spans="1:14">
      <c r="A27" s="10">
        <v>83000</v>
      </c>
      <c r="B27" t="s">
        <v>113</v>
      </c>
      <c r="C27" s="2" t="s">
        <v>113</v>
      </c>
      <c r="D27" s="11" t="s">
        <v>148</v>
      </c>
      <c r="E27" s="13">
        <f>'TB'!E51</f>
        <v>80640000</v>
      </c>
      <c r="F27" s="13">
        <f>'TB'!F51</f>
        <v>0</v>
      </c>
      <c r="G27" s="13">
        <f>'TB'!G51</f>
        <v>0</v>
      </c>
      <c r="H27" s="14">
        <f>E27+F27-G27</f>
        <v>80640000</v>
      </c>
      <c r="I27" s="13">
        <f>'TB'!I51</f>
        <v>68156928</v>
      </c>
      <c r="J27" s="14">
        <f>H27-I27</f>
        <v>12483072</v>
      </c>
      <c r="K27" s="20">
        <f>IF(I27=0,0,J27/ABS(I27))</f>
        <v>0.18315191670610506</v>
      </c>
      <c r="L27" s="23">
        <f>IF(AND(ABS(J27)&gt;=$L$3,OR(I27=0,ABS(K27)&gt;=$L$4)),"설명 필요","")</f>
        <v/>
      </c>
      <c r="N27" s="11" t="s">
        <v>100</v>
      </c>
    </row>
    <row r="28" spans="1:14">
      <c r="A28" s="10">
        <v>83100</v>
      </c>
      <c r="B28" t="s">
        <v>26</v>
      </c>
      <c r="C28" s="2" t="s">
        <v>26</v>
      </c>
      <c r="D28" s="11" t="s">
        <v>148</v>
      </c>
      <c r="E28" s="13">
        <f>'TB'!E52</f>
        <v>506849667</v>
      </c>
      <c r="F28" s="13">
        <f>'TB'!F52</f>
        <v>0</v>
      </c>
      <c r="G28" s="13">
        <f>'TB'!G52</f>
        <v>45000000</v>
      </c>
      <c r="H28" s="14">
        <f>E28+F28-G28</f>
        <v>461849667</v>
      </c>
      <c r="I28" s="13">
        <f>'TB'!I52</f>
        <v>377515917</v>
      </c>
      <c r="J28" s="14">
        <f>H28-I28</f>
        <v>84333750</v>
      </c>
      <c r="K28" s="20">
        <f>IF(I28=0,0,J28/ABS(I28))</f>
        <v>0.22339124313002146</v>
      </c>
      <c r="L28" s="23" t="str">
        <f>IF(AND(ABS(J28)&gt;=$L$3,OR(I28=0,ABS(K28)&gt;=$L$4)),"설명 필요","")</f>
        <v>설명 필요</v>
      </c>
      <c r="M28" s="11" t="s">
        <v>149</v>
      </c>
      <c r="N28" s="11" t="s">
        <v>100</v>
      </c>
    </row>
    <row r="29" spans="1:14">
      <c r="A29" s="10">
        <v>83300</v>
      </c>
      <c r="B29" t="s">
        <v>114</v>
      </c>
      <c r="C29" s="2" t="s">
        <v>114</v>
      </c>
      <c r="D29" s="11" t="s">
        <v>148</v>
      </c>
      <c r="E29" s="13">
        <f>'TB'!E53</f>
        <v>692400000</v>
      </c>
      <c r="F29" s="13">
        <f>'TB'!F53</f>
        <v>0</v>
      </c>
      <c r="G29" s="13">
        <f>'TB'!G53</f>
        <v>0</v>
      </c>
      <c r="H29" s="14">
        <f>E29+F29-G29</f>
        <v>692400000</v>
      </c>
      <c r="I29" s="13">
        <f>'TB'!I53</f>
        <v>532594080</v>
      </c>
      <c r="J29" s="14">
        <f>H29-I29</f>
        <v>159805920</v>
      </c>
      <c r="K29" s="20">
        <f>IF(I29=0,0,J29/ABS(I29))</f>
        <v>0.3000520020800832</v>
      </c>
      <c r="L29" s="23" t="str">
        <f>IF(AND(ABS(J29)&gt;=$L$3,OR(I29=0,ABS(K29)&gt;=$L$4)),"설명 필요","")</f>
        <v>설명 필요</v>
      </c>
      <c r="N29" s="11" t="s">
        <v>100</v>
      </c>
    </row>
    <row r="30" spans="1:14">
      <c r="A30" s="10">
        <v>84000</v>
      </c>
      <c r="B30" t="s">
        <v>115</v>
      </c>
      <c r="C30" s="2" t="s">
        <v>115</v>
      </c>
      <c r="D30" s="11" t="s">
        <v>148</v>
      </c>
      <c r="E30" s="13">
        <f>'TB'!E54</f>
        <v>38999996</v>
      </c>
      <c r="F30" s="13">
        <f>'TB'!F54</f>
        <v>0</v>
      </c>
      <c r="G30" s="13">
        <f>'TB'!G54</f>
        <v>0</v>
      </c>
      <c r="H30" s="14">
        <f>E30+F30-G30</f>
        <v>38999996</v>
      </c>
      <c r="I30" s="13">
        <f>'TB'!I54</f>
        <v>32016663</v>
      </c>
      <c r="J30" s="14">
        <f>H30-I30</f>
        <v>6983333</v>
      </c>
      <c r="K30" s="20">
        <f>IF(I30=0,0,J30/ABS(I30))</f>
        <v>0.21811557937815068</v>
      </c>
      <c r="L30" s="23">
        <f>IF(AND(ABS(J30)&gt;=$L$3,OR(I30=0,ABS(K30)&gt;=$L$4)),"설명 필요","")</f>
        <v/>
      </c>
      <c r="N30" s="11" t="s">
        <v>100</v>
      </c>
    </row>
    <row r="31" spans="1:14">
      <c r="A31" s="10">
        <v>84300</v>
      </c>
      <c r="B31" t="s">
        <v>116</v>
      </c>
      <c r="C31" s="2" t="s">
        <v>116</v>
      </c>
      <c r="D31" s="11" t="s">
        <v>148</v>
      </c>
      <c r="E31" s="13">
        <f>'TB'!E55</f>
        <v>4049357000</v>
      </c>
      <c r="F31" s="13">
        <f>'TB'!F55</f>
        <v>0</v>
      </c>
      <c r="G31" s="13">
        <f>'TB'!G55</f>
        <v>0</v>
      </c>
      <c r="H31" s="14">
        <f>E31+F31-G31</f>
        <v>4049357000</v>
      </c>
      <c r="I31" s="13">
        <f>'TB'!I55</f>
        <v>3455316328</v>
      </c>
      <c r="J31" s="14">
        <f>H31-I31</f>
        <v>594040672</v>
      </c>
      <c r="K31" s="20">
        <f>IF(I31=0,0,J31/ABS(I31))</f>
        <v>0.17192077818931314</v>
      </c>
      <c r="L31" s="23" t="str">
        <f>IF(AND(ABS(J31)&gt;=$L$3,OR(I31=0,ABS(K31)&gt;=$L$4)),"설명 필요","")</f>
        <v>설명 필요</v>
      </c>
      <c r="N31" s="11" t="s">
        <v>100</v>
      </c>
    </row>
    <row r="32" spans="1:14">
      <c r="A32" s="10">
        <v>85300</v>
      </c>
      <c r="B32" t="s">
        <v>117</v>
      </c>
      <c r="C32" s="2" t="s">
        <v>117</v>
      </c>
      <c r="D32" s="11" t="s">
        <v>148</v>
      </c>
      <c r="E32" s="13">
        <f>'TB'!E56</f>
        <v>180000000</v>
      </c>
      <c r="F32" s="13">
        <f>'TB'!F56</f>
        <v>0</v>
      </c>
      <c r="G32" s="13">
        <f>'TB'!G56</f>
        <v>0</v>
      </c>
      <c r="H32" s="14">
        <f>E32+F32-G32</f>
        <v>180000000</v>
      </c>
      <c r="I32" s="13">
        <f>'TB'!I56</f>
        <v>135000000</v>
      </c>
      <c r="J32" s="14">
        <f>H32-I32</f>
        <v>45000000</v>
      </c>
      <c r="K32" s="20">
        <f>IF(I32=0,0,J32/ABS(I32))</f>
        <v>0.3333333333333333</v>
      </c>
      <c r="L32" s="23">
        <f>IF(AND(ABS(J32)&gt;=$L$3,OR(I32=0,ABS(K32)&gt;=$L$4)),"설명 필요","")</f>
        <v/>
      </c>
      <c r="N32" s="11" t="s">
        <v>100</v>
      </c>
    </row>
    <row r="33" spans="1:14">
      <c r="B33" s="24" t="s">
        <v>150</v>
      </c>
      <c r="E33" s="25">
        <f>E12-E13</f>
        <v>-4312509309</v>
      </c>
      <c r="H33" s="25">
        <f>H12-H13</f>
        <v>-4305909309</v>
      </c>
      <c r="I33" s="25">
        <f>I12-I13</f>
        <v>-3562157541</v>
      </c>
      <c r="J33" s="14">
        <f>H33-I33</f>
        <v>-743751768</v>
      </c>
      <c r="K33" s="20">
        <f>IF(I33=0,0,J33/ABS(I33))</f>
        <v>-0.20879249708624834</v>
      </c>
    </row>
    <row r="34" spans="1:14">
      <c r="B34" s="18" t="s">
        <v>151</v>
      </c>
      <c r="C34" s="2" t="s">
        <v>152</v>
      </c>
      <c r="E34" s="22">
        <f>SUM(E35,E36,E37)</f>
        <v>125560260</v>
      </c>
      <c r="F34" s="22">
        <f>SUM(F35,F36,F37)</f>
        <v>0</v>
      </c>
      <c r="G34" s="22">
        <f>SUM(G35,G36,G37)</f>
        <v>3528767</v>
      </c>
      <c r="H34" s="22">
        <f>SUM(H35,H36,H37)</f>
        <v>129089027</v>
      </c>
      <c r="I34" s="22">
        <f>SUM(I35,I36,I37)</f>
        <v>115797660</v>
      </c>
      <c r="J34" s="14">
        <f>H34-I34</f>
        <v>13291367</v>
      </c>
      <c r="K34" s="20">
        <f>IF(I34=0,0,J34/ABS(I34))</f>
        <v>0.11478096362223554</v>
      </c>
    </row>
    <row r="35" spans="1:14">
      <c r="A35" s="10">
        <v>90100</v>
      </c>
      <c r="B35" t="s">
        <v>31</v>
      </c>
      <c r="C35" s="2" t="s">
        <v>31</v>
      </c>
      <c r="D35" s="11" t="s">
        <v>153</v>
      </c>
      <c r="E35" s="13">
        <f>-'TB'!E57</f>
        <v>111870137</v>
      </c>
      <c r="F35" s="13">
        <f>'TB'!F57</f>
        <v>0</v>
      </c>
      <c r="G35" s="13">
        <f>'TB'!G57</f>
        <v>3528767</v>
      </c>
      <c r="H35" s="14">
        <f>E35-F35+G35</f>
        <v>115398904</v>
      </c>
      <c r="I35" s="13">
        <f>-'TB'!I57</f>
        <v>111187252</v>
      </c>
      <c r="J35" s="14">
        <f>H35-I35</f>
        <v>4211652</v>
      </c>
      <c r="K35" s="20">
        <f>IF(I35=0,0,J35/ABS(I35))</f>
        <v>0.03787891079455764</v>
      </c>
      <c r="L35" s="23">
        <f>IF(AND(ABS(J35)&gt;=$L$3,OR(I35=0,ABS(K35)&gt;=$L$4)),"설명 필요","")</f>
        <v/>
      </c>
      <c r="M35" s="11" t="s">
        <v>154</v>
      </c>
      <c r="N35" s="11" t="s">
        <v>29</v>
      </c>
    </row>
    <row r="36" spans="1:14">
      <c r="A36" s="10">
        <v>90700</v>
      </c>
      <c r="B36" t="s">
        <v>118</v>
      </c>
      <c r="C36" s="2" t="s">
        <v>118</v>
      </c>
      <c r="D36" s="11" t="s">
        <v>153</v>
      </c>
      <c r="E36" s="13">
        <f>-'TB'!E58</f>
        <v>921967</v>
      </c>
      <c r="F36" s="13">
        <f>'TB'!F58</f>
        <v>0</v>
      </c>
      <c r="G36" s="13">
        <f>'TB'!G58</f>
        <v>0</v>
      </c>
      <c r="H36" s="14">
        <f>E36-F36+G36</f>
        <v>921967</v>
      </c>
      <c r="I36" s="13">
        <f>-'TB'!I58</f>
        <v>1483920</v>
      </c>
      <c r="J36" s="14">
        <f>H36-I36</f>
        <v>-561953</v>
      </c>
      <c r="K36" s="20">
        <f>IF(I36=0,0,J36/ABS(I36))</f>
        <v>-0.3786949431236185</v>
      </c>
      <c r="L36" s="23">
        <f>IF(AND(ABS(J36)&gt;=$L$3,OR(I36=0,ABS(K36)&gt;=$L$4)),"설명 필요","")</f>
        <v/>
      </c>
      <c r="N36" s="11" t="s">
        <v>29</v>
      </c>
    </row>
    <row r="37" spans="1:14">
      <c r="A37" s="10">
        <v>91000</v>
      </c>
      <c r="B37" t="s">
        <v>119</v>
      </c>
      <c r="C37" s="2" t="s">
        <v>119</v>
      </c>
      <c r="D37" s="11" t="s">
        <v>153</v>
      </c>
      <c r="E37" s="13">
        <f>-'TB'!E59</f>
        <v>12768156</v>
      </c>
      <c r="F37" s="13">
        <f>'TB'!F59</f>
        <v>0</v>
      </c>
      <c r="G37" s="13">
        <f>'TB'!G59</f>
        <v>0</v>
      </c>
      <c r="H37" s="14">
        <f>E37-F37+G37</f>
        <v>12768156</v>
      </c>
      <c r="I37" s="13">
        <f>-'TB'!I59</f>
        <v>3126488</v>
      </c>
      <c r="J37" s="14">
        <f>H37-I37</f>
        <v>9641668</v>
      </c>
      <c r="K37" s="20">
        <f>IF(I37=0,0,J37/ABS(I37))</f>
        <v>3.0838653466765265</v>
      </c>
      <c r="L37" s="23">
        <f>IF(AND(ABS(J37)&gt;=$L$3,OR(I37=0,ABS(K37)&gt;=$L$4)),"설명 필요","")</f>
        <v/>
      </c>
      <c r="N37" s="11" t="s">
        <v>29</v>
      </c>
    </row>
    <row r="38" spans="1:14">
      <c r="B38" s="18" t="s">
        <v>155</v>
      </c>
      <c r="C38" s="2" t="s">
        <v>156</v>
      </c>
      <c r="E38" s="22">
        <f>SUM(E39,E40)</f>
        <v>241974589</v>
      </c>
      <c r="F38" s="22">
        <f>SUM(F39,F40)</f>
        <v>0</v>
      </c>
      <c r="G38" s="22">
        <f>SUM(G39,G40)</f>
        <v>0</v>
      </c>
      <c r="H38" s="22">
        <f>SUM(H39,H40)</f>
        <v>241974589</v>
      </c>
      <c r="I38" s="22">
        <f>SUM(I39,I40)</f>
        <v>173861370</v>
      </c>
      <c r="J38" s="14">
        <f>H38-I38</f>
        <v>68113219</v>
      </c>
      <c r="K38" s="20">
        <f>IF(I38=0,0,J38/ABS(I38))</f>
        <v>0.3917674121629204</v>
      </c>
    </row>
    <row r="39" spans="1:14">
      <c r="A39" s="10">
        <v>93100</v>
      </c>
      <c r="B39" t="s">
        <v>120</v>
      </c>
      <c r="C39" s="2" t="s">
        <v>120</v>
      </c>
      <c r="D39" s="11" t="s">
        <v>157</v>
      </c>
      <c r="E39" s="13">
        <f>'TB'!E60</f>
        <v>240000000</v>
      </c>
      <c r="F39" s="13">
        <f>'TB'!F60</f>
        <v>0</v>
      </c>
      <c r="G39" s="13">
        <f>'TB'!G60</f>
        <v>0</v>
      </c>
      <c r="H39" s="14">
        <f>E39+F39-G39</f>
        <v>240000000</v>
      </c>
      <c r="I39" s="13">
        <f>'TB'!I60</f>
        <v>171000000</v>
      </c>
      <c r="J39" s="14">
        <f>H39-I39</f>
        <v>69000000</v>
      </c>
      <c r="K39" s="20">
        <f>IF(I39=0,0,J39/ABS(I39))</f>
        <v>0.40350877192982454</v>
      </c>
      <c r="L39" s="23">
        <f>IF(AND(ABS(J39)&gt;=$L$3,OR(I39=0,ABS(K39)&gt;=$L$4)),"설명 필요","")</f>
        <v/>
      </c>
      <c r="N39" s="11" t="s">
        <v>84</v>
      </c>
    </row>
    <row r="40" spans="1:14">
      <c r="A40" s="10">
        <v>93200</v>
      </c>
      <c r="B40" t="s">
        <v>121</v>
      </c>
      <c r="C40" s="2" t="s">
        <v>121</v>
      </c>
      <c r="D40" s="11" t="s">
        <v>157</v>
      </c>
      <c r="E40" s="13">
        <f>'TB'!E61</f>
        <v>1974589</v>
      </c>
      <c r="F40" s="13">
        <f>'TB'!F61</f>
        <v>0</v>
      </c>
      <c r="G40" s="13">
        <f>'TB'!G61</f>
        <v>0</v>
      </c>
      <c r="H40" s="14">
        <f>E40+F40-G40</f>
        <v>1974589</v>
      </c>
      <c r="I40" s="13">
        <f>'TB'!I61</f>
        <v>2861370</v>
      </c>
      <c r="J40" s="14">
        <f>H40-I40</f>
        <v>-886781</v>
      </c>
      <c r="K40" s="20">
        <f>IF(I40=0,0,J40/ABS(I40))</f>
        <v>-0.30991483100752437</v>
      </c>
      <c r="L40" s="23">
        <f>IF(AND(ABS(J40)&gt;=$L$3,OR(I40=0,ABS(K40)&gt;=$L$4)),"설명 필요","")</f>
        <v/>
      </c>
      <c r="N40" s="11" t="s">
        <v>29</v>
      </c>
    </row>
    <row r="41" spans="1:14">
      <c r="B41" s="24" t="s">
        <v>158</v>
      </c>
      <c r="E41" s="25">
        <f>E33+E34-E38</f>
        <v>-4428923638</v>
      </c>
      <c r="H41" s="25">
        <f>H33+H34-H38</f>
        <v>-4418794871</v>
      </c>
      <c r="I41" s="25">
        <f>I33+I34-I38</f>
        <v>-3620221251</v>
      </c>
      <c r="J41" s="14">
        <f>H41-I41</f>
        <v>-798573620</v>
      </c>
      <c r="K41" s="20">
        <f>IF(I41=0,0,J41/ABS(I41))</f>
        <v>-0.22058696544566525</v>
      </c>
    </row>
    <row r="42" spans="1:14">
      <c r="B42" s="18" t="s">
        <v>159</v>
      </c>
      <c r="C42" s="2" t="s">
        <v>160</v>
      </c>
      <c r="E42" s="22">
        <f>SUM(0)</f>
        <v>0</v>
      </c>
      <c r="F42" s="22">
        <f>SUM(0)</f>
        <v>0</v>
      </c>
      <c r="G42" s="22">
        <f>SUM(0)</f>
        <v>0</v>
      </c>
      <c r="H42" s="22">
        <f>SUM(0)</f>
        <v>0</v>
      </c>
      <c r="I42" s="22">
        <f>SUM(0)</f>
        <v>0</v>
      </c>
      <c r="J42" s="14">
        <f>H42-I42</f>
        <v>0</v>
      </c>
      <c r="K42" s="20">
        <f>IF(I42=0,0,J42/ABS(I42))</f>
        <v>0</v>
      </c>
    </row>
    <row r="43" spans="1:14">
      <c r="B43" s="24" t="s">
        <v>161</v>
      </c>
      <c r="E43" s="25">
        <f>E41-E42</f>
        <v>-4428923638</v>
      </c>
      <c r="H43" s="25">
        <f>H41-H42</f>
        <v>-4418794871</v>
      </c>
      <c r="I43" s="25">
        <f>I41-I42</f>
        <v>-3620221251</v>
      </c>
      <c r="J43" s="14">
        <f>H43-I43</f>
        <v>-798573620</v>
      </c>
      <c r="K43" s="20">
        <f>IF(I43=0,0,J43/ABS(I43))</f>
        <v>-0.22058696544566525</v>
      </c>
    </row>
  </sheetData>
  <pageMargins left="0.4" right="0.4" top="0.5" bottom="0.5" header="0.3" footer="0.3"/>
  <pageSetup paperSize="9" fitToHeight="0" orientation="landscape"/>
  <headerFooter>
    <oddFooter>&amp;L&amp;8도담소프트(가상) 전기조서 WTB 2024&amp;C&amp;8&amp;A&amp;R&amp;8&amp;P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B1:N22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5.7109375" customWidth="1"/>
    <col min="3" max="3" width="6.7109375" customWidth="1"/>
    <col min="4" max="4" width="40.7109375" customWidth="1"/>
    <col min="5" max="5" width="18.7109375" customWidth="1"/>
    <col min="6" max="6" width="15.7109375" customWidth="1"/>
    <col min="7" max="7" width="18.7109375" customWidth="1"/>
    <col min="8" max="8" width="15.7109375" customWidth="1"/>
    <col min="9" max="10" width="9.7109375" customWidth="1"/>
    <col min="11" max="11" width="14.7109375" customWidth="1"/>
    <col min="12" max="12" width="40.7109375" customWidth="1"/>
    <col min="13" max="13" width="9.7109375" customWidth="1"/>
    <col min="14" max="14" width="18.7109375" customWidth="1"/>
  </cols>
  <sheetData>
    <row r="1" spans="2:14">
      <c r="B1" s="1" t="s">
        <v>0</v>
      </c>
    </row>
    <row r="2" spans="2:14">
      <c r="B2" s="2" t="s">
        <v>1</v>
      </c>
    </row>
    <row r="4" spans="2:14">
      <c r="B4" s="6" t="s">
        <v>2</v>
      </c>
      <c r="C4" s="6" t="s">
        <v>3</v>
      </c>
      <c r="D4" s="6" t="s">
        <v>4</v>
      </c>
      <c r="E4" s="6" t="s">
        <v>5</v>
      </c>
      <c r="F4" s="6"/>
      <c r="G4" s="6" t="s">
        <v>6</v>
      </c>
      <c r="H4" s="6"/>
      <c r="I4" s="6" t="s">
        <v>7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</row>
    <row r="5" spans="2:14">
      <c r="B5" s="6"/>
      <c r="C5" s="6"/>
      <c r="D5" s="6"/>
      <c r="E5" s="6" t="s">
        <v>13</v>
      </c>
      <c r="F5" s="6" t="s">
        <v>14</v>
      </c>
      <c r="G5" s="6" t="s">
        <v>13</v>
      </c>
      <c r="H5" s="6" t="s">
        <v>14</v>
      </c>
      <c r="I5" s="6"/>
      <c r="J5" s="6"/>
      <c r="K5" s="6"/>
      <c r="L5" s="6"/>
      <c r="M5" s="6"/>
      <c r="N5" s="6"/>
    </row>
    <row r="6" spans="2:14" ht="26" customHeight="1">
      <c r="B6" s="11">
        <v>1</v>
      </c>
      <c r="C6" s="11" t="s">
        <v>15</v>
      </c>
      <c r="D6" s="26" t="s">
        <v>16</v>
      </c>
      <c r="E6" t="s">
        <v>20</v>
      </c>
      <c r="F6" s="12">
        <v>38400000</v>
      </c>
      <c r="I6" s="10">
        <v>45200</v>
      </c>
      <c r="K6" s="14">
        <f>IF(N(I6)&gt;=40000,-N(F6),0)+IF(N(J6)&gt;=40000,N(H6),0)</f>
        <v>-38400000</v>
      </c>
      <c r="L6" s="9" t="s">
        <v>17</v>
      </c>
      <c r="M6" s="11" t="s">
        <v>18</v>
      </c>
      <c r="N6" s="11" t="s">
        <v>19</v>
      </c>
    </row>
    <row r="7" spans="2:14" ht="26" customHeight="1">
      <c r="G7" t="s">
        <v>21</v>
      </c>
      <c r="H7" s="12">
        <v>38400000</v>
      </c>
      <c r="J7" s="10">
        <v>26200</v>
      </c>
      <c r="K7" s="14">
        <f>IF(N(I7)&gt;=40000,-N(F7),0)+IF(N(J7)&gt;=40000,N(H7),0)</f>
        <v>0</v>
      </c>
    </row>
    <row r="8" spans="2:14" ht="26" customHeight="1">
      <c r="B8" s="11">
        <v>2</v>
      </c>
      <c r="C8" s="11" t="s">
        <v>15</v>
      </c>
      <c r="D8" s="26" t="s">
        <v>22</v>
      </c>
      <c r="E8" t="s">
        <v>25</v>
      </c>
      <c r="F8" s="12">
        <v>45000000</v>
      </c>
      <c r="I8" s="10">
        <v>13300</v>
      </c>
      <c r="K8" s="14">
        <f>IF(N(I8)&gt;=40000,-N(F8),0)+IF(N(J8)&gt;=40000,N(H8),0)</f>
        <v>0</v>
      </c>
      <c r="L8" s="9" t="s">
        <v>23</v>
      </c>
      <c r="M8" s="11" t="s">
        <v>24</v>
      </c>
      <c r="N8" s="11" t="s">
        <v>19</v>
      </c>
    </row>
    <row r="9" spans="2:14" ht="26" customHeight="1">
      <c r="G9" t="s">
        <v>26</v>
      </c>
      <c r="H9" s="12">
        <v>45000000</v>
      </c>
      <c r="J9" s="10">
        <v>83100</v>
      </c>
      <c r="K9" s="14">
        <f>IF(N(I9)&gt;=40000,-N(F9),0)+IF(N(J9)&gt;=40000,N(H9),0)</f>
        <v>45000000</v>
      </c>
    </row>
    <row r="10" spans="2:14" ht="26" customHeight="1">
      <c r="B10" s="11">
        <v>3</v>
      </c>
      <c r="C10" s="11" t="s">
        <v>15</v>
      </c>
      <c r="D10" s="26" t="s">
        <v>27</v>
      </c>
      <c r="E10" t="s">
        <v>30</v>
      </c>
      <c r="F10" s="12">
        <v>3528767</v>
      </c>
      <c r="I10" s="10">
        <v>11600</v>
      </c>
      <c r="K10" s="14">
        <f>IF(N(I10)&gt;=40000,-N(F10),0)+IF(N(J10)&gt;=40000,N(H10),0)</f>
        <v>0</v>
      </c>
      <c r="L10" s="9" t="s">
        <v>28</v>
      </c>
      <c r="M10" s="11" t="s">
        <v>29</v>
      </c>
      <c r="N10" s="11" t="s">
        <v>19</v>
      </c>
    </row>
    <row r="11" spans="2:14" ht="26" customHeight="1">
      <c r="G11" t="s">
        <v>31</v>
      </c>
      <c r="H11" s="12">
        <v>3528767</v>
      </c>
      <c r="J11" s="10">
        <v>90100</v>
      </c>
      <c r="K11" s="14">
        <f>IF(N(I11)&gt;=40000,-N(F11),0)+IF(N(J11)&gt;=40000,N(H11),0)</f>
        <v>3528767</v>
      </c>
    </row>
    <row r="12" spans="2:14" ht="26" customHeight="1">
      <c r="B12" s="11">
        <v>4</v>
      </c>
      <c r="C12" s="11" t="s">
        <v>32</v>
      </c>
      <c r="D12" s="26" t="s">
        <v>33</v>
      </c>
      <c r="E12" t="s">
        <v>37</v>
      </c>
      <c r="F12" s="12">
        <v>1180000000</v>
      </c>
      <c r="I12" s="10">
        <v>18000</v>
      </c>
      <c r="K12" s="14">
        <f>IF(N(I12)&gt;=40000,-N(F12),0)+IF(N(J12)&gt;=40000,N(H12),0)</f>
        <v>0</v>
      </c>
      <c r="L12" s="9" t="s">
        <v>34</v>
      </c>
      <c r="M12" s="11" t="s">
        <v>35</v>
      </c>
      <c r="N12" s="11" t="s">
        <v>36</v>
      </c>
    </row>
    <row r="13" spans="2:14" ht="26" customHeight="1">
      <c r="G13" t="s">
        <v>38</v>
      </c>
      <c r="H13" s="12">
        <v>1180000000</v>
      </c>
      <c r="J13" s="10">
        <v>17800</v>
      </c>
      <c r="K13" s="14">
        <f>IF(N(I13)&gt;=40000,-N(F13),0)+IF(N(J13)&gt;=40000,N(H13),0)</f>
        <v>0</v>
      </c>
    </row>
    <row r="14" spans="2:14">
      <c r="B14" s="16" t="s">
        <v>39</v>
      </c>
      <c r="F14" s="17">
        <f>SUM(F6:F13)</f>
        <v>1266928767</v>
      </c>
      <c r="H14" s="17">
        <f>SUM(H6:H13)</f>
        <v>1266928767</v>
      </c>
      <c r="K14" s="17">
        <f>SUM(K6:K13)</f>
        <v>10128767</v>
      </c>
      <c r="N14" s="19" t="str">
        <f>IF(F14=H14,"OK","차대 불일치")</f>
        <v>OK</v>
      </c>
    </row>
    <row r="17" spans="2:6">
      <c r="B17" s="5" t="s">
        <v>196</v>
      </c>
    </row>
    <row r="18" spans="2:6">
      <c r="D18" s="27" t="s">
        <v>197</v>
      </c>
      <c r="F18" s="13">
        <f>'손익계산서'!E43</f>
        <v>-4428923638</v>
      </c>
    </row>
    <row r="19" spans="2:6">
      <c r="D19" s="27" t="s">
        <v>198</v>
      </c>
      <c r="F19" s="13">
        <f>K14</f>
        <v>10128767</v>
      </c>
    </row>
    <row r="20" spans="2:6">
      <c r="D20" s="18" t="s">
        <v>199</v>
      </c>
      <c r="F20" s="13">
        <f>F18+F19</f>
        <v>-4418794871</v>
      </c>
    </row>
    <row r="21" spans="2:6">
      <c r="D21" s="27" t="s">
        <v>200</v>
      </c>
      <c r="F21" s="13">
        <f>'손익계산서'!H43</f>
        <v>-4418794871</v>
      </c>
    </row>
    <row r="22" spans="2:6">
      <c r="D22" s="18" t="s">
        <v>201</v>
      </c>
      <c r="F22" s="19" t="str">
        <f>IF(ROUND(F20-F21,0)=0,"OK","차이 확인")</f>
        <v>OK</v>
      </c>
    </row>
  </sheetData>
  <pageMargins left="0.4" right="0.4" top="0.5" bottom="0.5" header="0.3" footer="0.3"/>
  <pageSetup paperSize="9" fitToHeight="0" orientation="landscape"/>
  <headerFooter>
    <oddFooter>&amp;L&amp;8도담소프트(가상) 전기조서 WTB 2024&amp;C&amp;8&amp;A&amp;R&amp;8&amp;P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H56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34.7109375" customWidth="1"/>
    <col min="3" max="3" width="8.7109375" customWidth="1"/>
    <col min="4" max="7" width="17.7109375" customWidth="1"/>
    <col min="8" max="8" width="24.7109375" customWidth="1"/>
  </cols>
  <sheetData>
    <row r="1" spans="1:8">
      <c r="B1" s="1" t="s">
        <v>202</v>
      </c>
    </row>
    <row r="2" spans="1:8">
      <c r="B2" s="2" t="s">
        <v>203</v>
      </c>
    </row>
    <row r="4" spans="1:8">
      <c r="A4" s="6" t="s">
        <v>3</v>
      </c>
      <c r="B4" s="6" t="s">
        <v>204</v>
      </c>
      <c r="C4" s="6" t="s">
        <v>205</v>
      </c>
      <c r="D4" s="6" t="s">
        <v>206</v>
      </c>
      <c r="E4" s="6" t="s">
        <v>207</v>
      </c>
      <c r="F4" s="6" t="s">
        <v>208</v>
      </c>
      <c r="G4" s="6" t="s">
        <v>134</v>
      </c>
      <c r="H4" s="6" t="s">
        <v>209</v>
      </c>
    </row>
    <row r="5" spans="1:8">
      <c r="B5" s="21" t="s">
        <v>52</v>
      </c>
      <c r="C5" s="21"/>
      <c r="D5" s="21"/>
      <c r="E5" s="21"/>
      <c r="F5" s="21"/>
      <c r="G5" s="21"/>
      <c r="H5" s="21"/>
    </row>
    <row r="6" spans="1:8">
      <c r="A6" s="2" t="s">
        <v>210</v>
      </c>
      <c r="B6" s="18" t="s">
        <v>163</v>
      </c>
      <c r="D6" s="22">
        <f>SUM(D7)</f>
        <v>6681123031</v>
      </c>
      <c r="E6" s="22">
        <f>SUM(E7)</f>
        <v>6729651798</v>
      </c>
      <c r="F6" s="22">
        <f>SUM(F7)</f>
        <v>7445194311</v>
      </c>
      <c r="G6" s="14">
        <f>E6-F6</f>
        <v>-715542513</v>
      </c>
      <c r="H6" s="2" t="s">
        <v>164</v>
      </c>
    </row>
    <row r="7" spans="1:8">
      <c r="A7" s="2" t="s">
        <v>210</v>
      </c>
      <c r="B7" s="18" t="s">
        <v>211</v>
      </c>
      <c r="D7" s="22">
        <f>SUM(D8,D9,D10,D11,D12,D13,D14)</f>
        <v>6681123031</v>
      </c>
      <c r="E7" s="22">
        <f>SUM(E8,E9,E10,E11,E12,E13,E14)</f>
        <v>6729651798</v>
      </c>
      <c r="F7" s="22">
        <f>SUM(F8,F9,F10,F11,F12,F13,F14)</f>
        <v>7445194311</v>
      </c>
      <c r="G7" s="14">
        <f>E7-F7</f>
        <v>-715542513</v>
      </c>
      <c r="H7" s="2" t="s">
        <v>166</v>
      </c>
    </row>
    <row r="8" spans="1:8">
      <c r="A8" s="2" t="s">
        <v>210</v>
      </c>
      <c r="B8" s="27" t="s">
        <v>212</v>
      </c>
      <c r="C8" s="11" t="s">
        <v>213</v>
      </c>
      <c r="D8" s="13">
        <f>SUMIF('재무상태표'!$C$7:$C$57,$H8,'재무상태표'!$D$7:$D$57)</f>
        <v>2769582606</v>
      </c>
      <c r="E8" s="13">
        <f>SUMIF('재무상태표'!$C$7:$C$57,$H8,'재무상태표'!$G$7:$G$57)</f>
        <v>2769582606</v>
      </c>
      <c r="F8" s="13">
        <f>SUMIF('재무상태표'!$C$7:$C$57,$H8,'재무상태표'!$H$7:$H$57)</f>
        <v>3645038600</v>
      </c>
      <c r="G8" s="14">
        <f>E8-F8</f>
        <v>-875455994</v>
      </c>
      <c r="H8" s="2" t="s">
        <v>51</v>
      </c>
    </row>
    <row r="9" spans="1:8">
      <c r="A9" s="2" t="s">
        <v>210</v>
      </c>
      <c r="B9" s="27" t="s">
        <v>214</v>
      </c>
      <c r="C9" s="11" t="s">
        <v>215</v>
      </c>
      <c r="D9" s="13">
        <f>SUMIF('재무상태표'!$C$7:$C$57,$H9,'재무상태표'!$D$7:$D$57)</f>
        <v>3000000000</v>
      </c>
      <c r="E9" s="13">
        <f>SUMIF('재무상태표'!$C$7:$C$57,$H9,'재무상태표'!$G$7:$G$57)</f>
        <v>3000000000</v>
      </c>
      <c r="F9" s="13">
        <f>SUMIF('재무상태표'!$C$7:$C$57,$H9,'재무상태표'!$H$7:$H$57)</f>
        <v>3000000000</v>
      </c>
      <c r="G9" s="14">
        <f>E9-F9</f>
        <v>0</v>
      </c>
      <c r="H9" s="2" t="s">
        <v>55</v>
      </c>
    </row>
    <row r="10" spans="1:8">
      <c r="A10" s="2" t="s">
        <v>210</v>
      </c>
      <c r="B10" s="27" t="s">
        <v>216</v>
      </c>
      <c r="C10" s="11" t="s">
        <v>217</v>
      </c>
      <c r="D10" s="13">
        <f>SUMIF('재무상태표'!$C$7:$C$57,$H10,'재무상태표'!$D$7:$D$57)</f>
        <v>681160188</v>
      </c>
      <c r="E10" s="13">
        <f>SUMIF('재무상태표'!$C$7:$C$57,$H10,'재무상태표'!$G$7:$G$57)</f>
        <v>681160188</v>
      </c>
      <c r="F10" s="13">
        <f>SUMIF('재무상태표'!$C$7:$C$57,$H10,'재무상태표'!$H$7:$H$57)</f>
        <v>540152971</v>
      </c>
      <c r="G10" s="14">
        <f>E10-F10</f>
        <v>141007217</v>
      </c>
      <c r="H10" s="2" t="s">
        <v>57</v>
      </c>
    </row>
    <row r="11" spans="1:8">
      <c r="A11" s="2" t="s">
        <v>210</v>
      </c>
      <c r="B11" s="27" t="s">
        <v>218</v>
      </c>
      <c r="D11" s="13">
        <f>SUMIF('재무상태표'!$C$7:$C$57,$H11,'재무상태표'!$D$7:$D$57)</f>
        <v>100032877</v>
      </c>
      <c r="E11" s="13">
        <f>SUMIF('재무상태표'!$C$7:$C$57,$H11,'재무상태표'!$G$7:$G$57)</f>
        <v>103561644</v>
      </c>
      <c r="F11" s="13">
        <f>SUMIF('재무상태표'!$C$7:$C$57,$H11,'재무상태표'!$H$7:$H$57)</f>
        <v>109002740</v>
      </c>
      <c r="G11" s="14">
        <f>E11-F11</f>
        <v>-5441096</v>
      </c>
      <c r="H11" s="2" t="s">
        <v>30</v>
      </c>
    </row>
    <row r="12" spans="1:8">
      <c r="A12" s="2" t="s">
        <v>210</v>
      </c>
      <c r="B12" s="27" t="s">
        <v>219</v>
      </c>
      <c r="D12" s="13">
        <f>SUMIF('재무상태표'!$C$7:$C$57,$H12,'재무상태표'!$D$7:$D$57)</f>
        <v>0</v>
      </c>
      <c r="E12" s="13">
        <f>SUMIF('재무상태표'!$C$7:$C$57,$H12,'재무상태표'!$G$7:$G$57)</f>
        <v>45000000</v>
      </c>
      <c r="F12" s="13">
        <f>SUMIF('재무상태표'!$C$7:$C$57,$H12,'재무상태표'!$H$7:$H$57)</f>
        <v>0</v>
      </c>
      <c r="G12" s="14">
        <f>E12-F12</f>
        <v>45000000</v>
      </c>
      <c r="H12" s="2" t="s">
        <v>25</v>
      </c>
    </row>
    <row r="13" spans="1:8">
      <c r="A13" s="2" t="s">
        <v>210</v>
      </c>
      <c r="B13" s="27" t="s">
        <v>220</v>
      </c>
      <c r="D13" s="13">
        <f>SUMIF('재무상태표'!$C$7:$C$57,$H13,'재무상태표'!$D$7:$D$57)</f>
        <v>111738000</v>
      </c>
      <c r="E13" s="13">
        <f>SUMIF('재무상태표'!$C$7:$C$57,$H13,'재무상태표'!$G$7:$G$57)</f>
        <v>111738000</v>
      </c>
      <c r="F13" s="13">
        <f>SUMIF('재무상태표'!$C$7:$C$57,$H13,'재무상태표'!$H$7:$H$57)</f>
        <v>151000000</v>
      </c>
      <c r="G13" s="14">
        <f>E13-F13</f>
        <v>-39262000</v>
      </c>
      <c r="H13" s="2" t="s">
        <v>59</v>
      </c>
    </row>
    <row r="14" spans="1:8">
      <c r="A14" s="2" t="s">
        <v>210</v>
      </c>
      <c r="B14" s="27" t="s">
        <v>221</v>
      </c>
      <c r="C14" s="11" t="s">
        <v>222</v>
      </c>
      <c r="D14" s="13">
        <f>SUMIF('재무상태표'!$C$7:$C$57,$H14,'재무상태표'!$D$7:$D$57)</f>
        <v>18609360</v>
      </c>
      <c r="E14" s="13">
        <f>SUMIF('재무상태표'!$C$7:$C$57,$H14,'재무상태표'!$G$7:$G$57)</f>
        <v>18609360</v>
      </c>
      <c r="F14" s="13">
        <f>SUMIF('재무상태표'!$C$7:$C$57,$H14,'재무상태표'!$H$7:$H$57)</f>
        <v>0</v>
      </c>
      <c r="G14" s="14">
        <f>E14-F14</f>
        <v>18609360</v>
      </c>
      <c r="H14" s="2" t="s">
        <v>61</v>
      </c>
    </row>
    <row r="15" spans="1:8">
      <c r="A15" s="2" t="s">
        <v>210</v>
      </c>
      <c r="B15" s="18" t="s">
        <v>167</v>
      </c>
      <c r="D15" s="22">
        <f>SUM(D16,D19,D24,D27)</f>
        <v>2655573220</v>
      </c>
      <c r="E15" s="22">
        <f>SUM(E16,E19,E24,E27)</f>
        <v>2655573220</v>
      </c>
      <c r="F15" s="22">
        <f>SUM(F16,F19,F24,F27)</f>
        <v>2969783534</v>
      </c>
      <c r="G15" s="14">
        <f>E15-F15</f>
        <v>-314210314</v>
      </c>
      <c r="H15" s="2" t="s">
        <v>168</v>
      </c>
    </row>
    <row r="16" spans="1:8">
      <c r="A16" s="2" t="s">
        <v>210</v>
      </c>
      <c r="B16" s="18" t="s">
        <v>223</v>
      </c>
      <c r="D16" s="22">
        <f>SUM(D17,D18)</f>
        <v>1240000000</v>
      </c>
      <c r="E16" s="22">
        <f>SUM(E17,E18)</f>
        <v>1240000000</v>
      </c>
      <c r="F16" s="22">
        <f>SUM(F17,F18)</f>
        <v>1240000000</v>
      </c>
      <c r="G16" s="14">
        <f>E16-F16</f>
        <v>0</v>
      </c>
      <c r="H16" s="2" t="s">
        <v>170</v>
      </c>
    </row>
    <row r="17" spans="1:8">
      <c r="A17" s="2" t="s">
        <v>210</v>
      </c>
      <c r="B17" s="27" t="s">
        <v>224</v>
      </c>
      <c r="C17" s="11" t="s">
        <v>225</v>
      </c>
      <c r="D17" s="13">
        <f>SUMIF('재무상태표'!$C$7:$C$57,$H17,'재무상태표'!$D$7:$D$57)</f>
        <v>60000000</v>
      </c>
      <c r="E17" s="13">
        <f>SUMIF('재무상태표'!$C$7:$C$57,$H17,'재무상태표'!$G$7:$G$57)</f>
        <v>60000000</v>
      </c>
      <c r="F17" s="13">
        <f>SUMIF('재무상태표'!$C$7:$C$57,$H17,'재무상태표'!$H$7:$H$57)</f>
        <v>60000000</v>
      </c>
      <c r="G17" s="14">
        <f>E17-F17</f>
        <v>0</v>
      </c>
      <c r="H17" s="2" t="s">
        <v>63</v>
      </c>
    </row>
    <row r="18" spans="1:8">
      <c r="A18" s="2" t="s">
        <v>210</v>
      </c>
      <c r="B18" s="27" t="s">
        <v>226</v>
      </c>
      <c r="C18" s="11" t="s">
        <v>227</v>
      </c>
      <c r="D18" s="13">
        <f>SUMIF('재무상태표'!$C$7:$C$57,$H18,'재무상태표'!$D$7:$D$57)</f>
        <v>1180000000</v>
      </c>
      <c r="E18" s="13">
        <f>SUMIF('재무상태표'!$C$7:$C$57,$H18,'재무상태표'!$G$7:$G$57)</f>
        <v>1180000000</v>
      </c>
      <c r="F18" s="13">
        <f>SUMIF('재무상태표'!$C$7:$C$57,$H18,'재무상태표'!$H$7:$H$57)</f>
        <v>1180000000</v>
      </c>
      <c r="G18" s="14">
        <f>E18-F18</f>
        <v>0</v>
      </c>
      <c r="H18" s="2" t="s">
        <v>37</v>
      </c>
    </row>
    <row r="19" spans="1:8">
      <c r="A19" s="2" t="s">
        <v>210</v>
      </c>
      <c r="B19" s="18" t="s">
        <v>228</v>
      </c>
      <c r="C19" s="11" t="s">
        <v>229</v>
      </c>
      <c r="D19" s="22">
        <f>SUM(D20,D21,D22,D23)</f>
        <v>875189879</v>
      </c>
      <c r="E19" s="22">
        <f>SUM(E20,E21,E22,E23)</f>
        <v>875189879</v>
      </c>
      <c r="F19" s="22">
        <f>SUM(F20,F21,F22,F23)</f>
        <v>1198400197</v>
      </c>
      <c r="G19" s="14">
        <f>E19-F19</f>
        <v>-323210318</v>
      </c>
      <c r="H19" s="2" t="s">
        <v>173</v>
      </c>
    </row>
    <row r="20" spans="1:8">
      <c r="A20" s="2" t="s">
        <v>210</v>
      </c>
      <c r="B20" s="27" t="s">
        <v>230</v>
      </c>
      <c r="D20" s="13">
        <f>SUMIF('재무상태표'!$C$7:$C$57,$H20,'재무상태표'!$D$7:$D$57)</f>
        <v>1245000000</v>
      </c>
      <c r="E20" s="13">
        <f>SUMIF('재무상태표'!$C$7:$C$57,$H20,'재무상태표'!$G$7:$G$57)</f>
        <v>1245000000</v>
      </c>
      <c r="F20" s="13">
        <f>SUMIF('재무상태표'!$C$7:$C$57,$H20,'재무상태표'!$H$7:$H$57)</f>
        <v>1130900000</v>
      </c>
      <c r="G20" s="14">
        <f>E20-F20</f>
        <v>114100000</v>
      </c>
      <c r="H20" s="2" t="s">
        <v>64</v>
      </c>
    </row>
    <row r="21" spans="1:8">
      <c r="A21" s="2" t="s">
        <v>210</v>
      </c>
      <c r="B21" s="27" t="s">
        <v>231</v>
      </c>
      <c r="D21" s="13">
        <f>SUMIF('재무상태표'!$C$7:$C$57,$H21,'재무상태표'!$D$7:$D$57)</f>
        <v>-771043482</v>
      </c>
      <c r="E21" s="13">
        <f>SUMIF('재무상태표'!$C$7:$C$57,$H21,'재무상태표'!$G$7:$G$57)</f>
        <v>-771043482</v>
      </c>
      <c r="F21" s="13">
        <f>SUMIF('재무상태표'!$C$7:$C$57,$H21,'재무상태표'!$H$7:$H$57)</f>
        <v>-493333152</v>
      </c>
      <c r="G21" s="14">
        <f>E21-F21</f>
        <v>-277710330</v>
      </c>
      <c r="H21" s="2" t="s">
        <v>67</v>
      </c>
    </row>
    <row r="22" spans="1:8">
      <c r="A22" s="2" t="s">
        <v>210</v>
      </c>
      <c r="B22" s="27" t="s">
        <v>232</v>
      </c>
      <c r="D22" s="13">
        <f>SUMIF('재무상태표'!$C$7:$C$57,$H22,'재무상태표'!$D$7:$D$57)</f>
        <v>798000000</v>
      </c>
      <c r="E22" s="13">
        <f>SUMIF('재무상태표'!$C$7:$C$57,$H22,'재무상태표'!$G$7:$G$57)</f>
        <v>798000000</v>
      </c>
      <c r="F22" s="13">
        <f>SUMIF('재무상태표'!$C$7:$C$57,$H22,'재무상태표'!$H$7:$H$57)</f>
        <v>798000000</v>
      </c>
      <c r="G22" s="14">
        <f>E22-F22</f>
        <v>0</v>
      </c>
      <c r="H22" s="2" t="s">
        <v>68</v>
      </c>
    </row>
    <row r="23" spans="1:8">
      <c r="A23" s="2" t="s">
        <v>210</v>
      </c>
      <c r="B23" s="27" t="s">
        <v>231</v>
      </c>
      <c r="D23" s="13">
        <f>SUMIF('재무상태표'!$C$7:$C$57,$H23,'재무상태표'!$D$7:$D$57)</f>
        <v>-396766639</v>
      </c>
      <c r="E23" s="13">
        <f>SUMIF('재무상태표'!$C$7:$C$57,$H23,'재무상태표'!$G$7:$G$57)</f>
        <v>-396766639</v>
      </c>
      <c r="F23" s="13">
        <f>SUMIF('재무상태표'!$C$7:$C$57,$H23,'재무상태표'!$H$7:$H$57)</f>
        <v>-237166651</v>
      </c>
      <c r="G23" s="14">
        <f>E23-F23</f>
        <v>-159599988</v>
      </c>
      <c r="H23" s="2" t="s">
        <v>69</v>
      </c>
    </row>
    <row r="24" spans="1:8">
      <c r="A24" s="2" t="s">
        <v>210</v>
      </c>
      <c r="B24" s="18" t="s">
        <v>233</v>
      </c>
      <c r="C24" s="11" t="s">
        <v>234</v>
      </c>
      <c r="D24" s="22">
        <f>SUM(D25,D26)</f>
        <v>160383341</v>
      </c>
      <c r="E24" s="22">
        <f>SUM(E25,E26)</f>
        <v>160383341</v>
      </c>
      <c r="F24" s="22">
        <f>SUM(F25,F26)</f>
        <v>151383337</v>
      </c>
      <c r="G24" s="14">
        <f>E24-F24</f>
        <v>9000004</v>
      </c>
      <c r="H24" s="2" t="s">
        <v>175</v>
      </c>
    </row>
    <row r="25" spans="1:8">
      <c r="A25" s="2" t="s">
        <v>210</v>
      </c>
      <c r="B25" s="27" t="s">
        <v>235</v>
      </c>
      <c r="D25" s="13">
        <f>SUMIF('재무상태표'!$C$7:$C$57,$H25,'재무상태표'!$D$7:$D$57)</f>
        <v>119200000</v>
      </c>
      <c r="E25" s="13">
        <f>SUMIF('재무상태표'!$C$7:$C$57,$H25,'재무상태표'!$G$7:$G$57)</f>
        <v>119200000</v>
      </c>
      <c r="F25" s="13">
        <f>SUMIF('재무상태표'!$C$7:$C$57,$H25,'재무상태표'!$H$7:$H$57)</f>
        <v>104400000</v>
      </c>
      <c r="G25" s="14">
        <f>E25-F25</f>
        <v>14800000</v>
      </c>
      <c r="H25" s="2" t="s">
        <v>70</v>
      </c>
    </row>
    <row r="26" spans="1:8">
      <c r="A26" s="2" t="s">
        <v>210</v>
      </c>
      <c r="B26" s="27" t="s">
        <v>236</v>
      </c>
      <c r="D26" s="13">
        <f>SUMIF('재무상태표'!$C$7:$C$57,$H26,'재무상태표'!$D$7:$D$57)</f>
        <v>41183341</v>
      </c>
      <c r="E26" s="13">
        <f>SUMIF('재무상태표'!$C$7:$C$57,$H26,'재무상태표'!$G$7:$G$57)</f>
        <v>41183341</v>
      </c>
      <c r="F26" s="13">
        <f>SUMIF('재무상태표'!$C$7:$C$57,$H26,'재무상태표'!$H$7:$H$57)</f>
        <v>46983337</v>
      </c>
      <c r="G26" s="14">
        <f>E26-F26</f>
        <v>-5799996</v>
      </c>
      <c r="H26" s="2" t="s">
        <v>72</v>
      </c>
    </row>
    <row r="27" spans="1:8">
      <c r="A27" s="2" t="s">
        <v>210</v>
      </c>
      <c r="B27" s="18" t="s">
        <v>237</v>
      </c>
      <c r="D27" s="22">
        <f>SUM(D28)</f>
        <v>380000000</v>
      </c>
      <c r="E27" s="22">
        <f>SUM(E28)</f>
        <v>380000000</v>
      </c>
      <c r="F27" s="22">
        <f>SUM(F28)</f>
        <v>380000000</v>
      </c>
      <c r="G27" s="14">
        <f>E27-F27</f>
        <v>0</v>
      </c>
      <c r="H27" s="2" t="s">
        <v>177</v>
      </c>
    </row>
    <row r="28" spans="1:8">
      <c r="A28" s="2" t="s">
        <v>210</v>
      </c>
      <c r="B28" s="27" t="s">
        <v>238</v>
      </c>
      <c r="C28" s="11" t="s">
        <v>239</v>
      </c>
      <c r="D28" s="13">
        <f>SUMIF('재무상태표'!$C$7:$C$57,$H28,'재무상태표'!$D$7:$D$57)</f>
        <v>380000000</v>
      </c>
      <c r="E28" s="13">
        <f>SUMIF('재무상태표'!$C$7:$C$57,$H28,'재무상태표'!$G$7:$G$57)</f>
        <v>380000000</v>
      </c>
      <c r="F28" s="13">
        <f>SUMIF('재무상태표'!$C$7:$C$57,$H28,'재무상태표'!$H$7:$H$57)</f>
        <v>380000000</v>
      </c>
      <c r="G28" s="14">
        <f>E28-F28</f>
        <v>0</v>
      </c>
      <c r="H28" s="2" t="s">
        <v>73</v>
      </c>
    </row>
    <row r="29" spans="1:8">
      <c r="A29" s="2" t="s">
        <v>210</v>
      </c>
      <c r="B29" s="16" t="s">
        <v>178</v>
      </c>
      <c r="D29" s="17">
        <f>D6+D15</f>
        <v>9336696251</v>
      </c>
      <c r="E29" s="17">
        <f>E6+E15</f>
        <v>9385225018</v>
      </c>
      <c r="F29" s="17">
        <f>F6+F15</f>
        <v>10414977845</v>
      </c>
      <c r="G29" s="14">
        <f>E29-F29</f>
        <v>-1029752827</v>
      </c>
      <c r="H29" s="2" t="s">
        <v>178</v>
      </c>
    </row>
    <row r="30" spans="1:8">
      <c r="B30" s="21" t="s">
        <v>76</v>
      </c>
      <c r="C30" s="21"/>
      <c r="D30" s="21"/>
      <c r="E30" s="21"/>
      <c r="F30" s="21"/>
      <c r="G30" s="21"/>
      <c r="H30" s="21"/>
    </row>
    <row r="31" spans="1:8">
      <c r="A31" s="2" t="s">
        <v>210</v>
      </c>
      <c r="B31" s="18" t="s">
        <v>179</v>
      </c>
      <c r="D31" s="22">
        <f>SUM(D32,D33,D34,D35,D36,D37,D38)</f>
        <v>3509993085</v>
      </c>
      <c r="E31" s="22">
        <f>SUM(E32,E33,E34,E35,E36,E37,E38)</f>
        <v>3548393085</v>
      </c>
      <c r="F31" s="22">
        <f>SUM(F32,F33,F34,F35,F36,F37,F38)</f>
        <v>3339351041</v>
      </c>
      <c r="G31" s="14">
        <f>E31-F31</f>
        <v>209042044</v>
      </c>
      <c r="H31" s="2" t="s">
        <v>180</v>
      </c>
    </row>
    <row r="32" spans="1:8">
      <c r="A32" s="2" t="s">
        <v>210</v>
      </c>
      <c r="B32" s="27" t="s">
        <v>240</v>
      </c>
      <c r="D32" s="13">
        <f>SUMIF('재무상태표'!$C$7:$C$57,$H32,'재무상태표'!$D$7:$D$57)</f>
        <v>228536000</v>
      </c>
      <c r="E32" s="13">
        <f>SUMIF('재무상태표'!$C$7:$C$57,$H32,'재무상태표'!$G$7:$G$57)</f>
        <v>228536000</v>
      </c>
      <c r="F32" s="13">
        <f>SUMIF('재무상태표'!$C$7:$C$57,$H32,'재무상태표'!$H$7:$H$57)</f>
        <v>176000000</v>
      </c>
      <c r="G32" s="14">
        <f>E32-F32</f>
        <v>52536000</v>
      </c>
      <c r="H32" s="2" t="s">
        <v>75</v>
      </c>
    </row>
    <row r="33" spans="1:8">
      <c r="A33" s="2" t="s">
        <v>210</v>
      </c>
      <c r="B33" s="27" t="s">
        <v>241</v>
      </c>
      <c r="D33" s="13">
        <f>SUMIF('재무상태표'!$C$7:$C$57,$H33,'재무상태표'!$D$7:$D$57)</f>
        <v>149096000</v>
      </c>
      <c r="E33" s="13">
        <f>SUMIF('재무상태표'!$C$7:$C$57,$H33,'재무상태표'!$G$7:$G$57)</f>
        <v>149096000</v>
      </c>
      <c r="F33" s="13">
        <f>SUMIF('재무상태표'!$C$7:$C$57,$H33,'재무상태표'!$H$7:$H$57)</f>
        <v>119600000</v>
      </c>
      <c r="G33" s="14">
        <f>E33-F33</f>
        <v>29496000</v>
      </c>
      <c r="H33" s="2" t="s">
        <v>77</v>
      </c>
    </row>
    <row r="34" spans="1:8">
      <c r="A34" s="2" t="s">
        <v>210</v>
      </c>
      <c r="B34" s="27" t="s">
        <v>242</v>
      </c>
      <c r="D34" s="13">
        <f>SUMIF('재무상태표'!$C$7:$C$57,$H34,'재무상태표'!$D$7:$D$57)</f>
        <v>188039650</v>
      </c>
      <c r="E34" s="13">
        <f>SUMIF('재무상태표'!$C$7:$C$57,$H34,'재무상태표'!$G$7:$G$57)</f>
        <v>188039650</v>
      </c>
      <c r="F34" s="13">
        <f>SUMIF('재무상태표'!$C$7:$C$57,$H34,'재무상태표'!$H$7:$H$57)</f>
        <v>151620000</v>
      </c>
      <c r="G34" s="14">
        <f>E34-F34</f>
        <v>36419650</v>
      </c>
      <c r="H34" s="2" t="s">
        <v>79</v>
      </c>
    </row>
    <row r="35" spans="1:8">
      <c r="A35" s="2" t="s">
        <v>210</v>
      </c>
      <c r="B35" s="27" t="s">
        <v>243</v>
      </c>
      <c r="D35" s="13">
        <f>SUMIF('재무상태표'!$C$7:$C$57,$H35,'재무상태표'!$D$7:$D$57)</f>
        <v>389788078</v>
      </c>
      <c r="E35" s="13">
        <f>SUMIF('재무상태표'!$C$7:$C$57,$H35,'재무상태표'!$G$7:$G$57)</f>
        <v>389788078</v>
      </c>
      <c r="F35" s="13">
        <f>SUMIF('재무상태표'!$C$7:$C$57,$H35,'재무상태표'!$H$7:$H$57)</f>
        <v>414939340</v>
      </c>
      <c r="G35" s="14">
        <f>E35-F35</f>
        <v>-25151262</v>
      </c>
      <c r="H35" s="2" t="s">
        <v>80</v>
      </c>
    </row>
    <row r="36" spans="1:8">
      <c r="A36" s="2" t="s">
        <v>210</v>
      </c>
      <c r="B36" s="27" t="s">
        <v>244</v>
      </c>
      <c r="C36" s="11" t="s">
        <v>245</v>
      </c>
      <c r="D36" s="13">
        <f>SUMIF('재무상태표'!$C$7:$C$57,$H36,'재무상태표'!$D$7:$D$57)</f>
        <v>554533357</v>
      </c>
      <c r="E36" s="13">
        <f>SUMIF('재무상태표'!$C$7:$C$57,$H36,'재무상태표'!$G$7:$G$57)</f>
        <v>554533357</v>
      </c>
      <c r="F36" s="13">
        <f>SUMIF('재무상태표'!$C$7:$C$57,$H36,'재무상태표'!$H$7:$H$57)</f>
        <v>477191701</v>
      </c>
      <c r="G36" s="14">
        <f>E36-F36</f>
        <v>77341656</v>
      </c>
      <c r="H36" s="2" t="s">
        <v>81</v>
      </c>
    </row>
    <row r="37" spans="1:8">
      <c r="A37" s="2" t="s">
        <v>210</v>
      </c>
      <c r="B37" s="27" t="s">
        <v>246</v>
      </c>
      <c r="D37" s="13">
        <f>SUMIF('재무상태표'!$C$7:$C$57,$H37,'재무상태표'!$D$7:$D$57)</f>
        <v>0</v>
      </c>
      <c r="E37" s="13">
        <f>SUMIF('재무상태표'!$C$7:$C$57,$H37,'재무상태표'!$G$7:$G$57)</f>
        <v>38400000</v>
      </c>
      <c r="F37" s="13">
        <f>SUMIF('재무상태표'!$C$7:$C$57,$H37,'재무상태표'!$H$7:$H$57)</f>
        <v>0</v>
      </c>
      <c r="G37" s="14">
        <f>E37-F37</f>
        <v>38400000</v>
      </c>
      <c r="H37" s="2" t="s">
        <v>21</v>
      </c>
    </row>
    <row r="38" spans="1:8">
      <c r="A38" s="2" t="s">
        <v>210</v>
      </c>
      <c r="B38" s="27" t="s">
        <v>247</v>
      </c>
      <c r="C38" s="11" t="s">
        <v>248</v>
      </c>
      <c r="D38" s="13">
        <f>SUMIF('재무상태표'!$C$7:$C$57,$H38,'재무상태표'!$D$7:$D$57)</f>
        <v>2000000000</v>
      </c>
      <c r="E38" s="13">
        <f>SUMIF('재무상태표'!$C$7:$C$57,$H38,'재무상태표'!$G$7:$G$57)</f>
        <v>2000000000</v>
      </c>
      <c r="F38" s="13">
        <f>SUMIF('재무상태표'!$C$7:$C$57,$H38,'재무상태표'!$H$7:$H$57)</f>
        <v>2000000000</v>
      </c>
      <c r="G38" s="14">
        <f>E38-F38</f>
        <v>0</v>
      </c>
      <c r="H38" s="2" t="s">
        <v>83</v>
      </c>
    </row>
    <row r="39" spans="1:8">
      <c r="A39" s="2" t="s">
        <v>210</v>
      </c>
      <c r="B39" s="18" t="s">
        <v>181</v>
      </c>
      <c r="D39" s="22">
        <f>SUM(D40)</f>
        <v>3000000000</v>
      </c>
      <c r="E39" s="22">
        <f>SUM(E40)</f>
        <v>3000000000</v>
      </c>
      <c r="F39" s="22">
        <f>SUM(F40)</f>
        <v>3000000000</v>
      </c>
      <c r="G39" s="14">
        <f>E39-F39</f>
        <v>0</v>
      </c>
      <c r="H39" s="2" t="s">
        <v>182</v>
      </c>
    </row>
    <row r="40" spans="1:8">
      <c r="A40" s="2" t="s">
        <v>210</v>
      </c>
      <c r="B40" s="27" t="s">
        <v>249</v>
      </c>
      <c r="C40" s="11" t="s">
        <v>250</v>
      </c>
      <c r="D40" s="13">
        <f>SUMIF('재무상태표'!$C$7:$C$57,$H40,'재무상태표'!$D$7:$D$57)</f>
        <v>3000000000</v>
      </c>
      <c r="E40" s="13">
        <f>SUMIF('재무상태표'!$C$7:$C$57,$H40,'재무상태표'!$G$7:$G$57)</f>
        <v>3000000000</v>
      </c>
      <c r="F40" s="13">
        <f>SUMIF('재무상태표'!$C$7:$C$57,$H40,'재무상태표'!$H$7:$H$57)</f>
        <v>3000000000</v>
      </c>
      <c r="G40" s="14">
        <f>E40-F40</f>
        <v>0</v>
      </c>
      <c r="H40" s="2" t="s">
        <v>85</v>
      </c>
    </row>
    <row r="41" spans="1:8">
      <c r="A41" s="2" t="s">
        <v>210</v>
      </c>
      <c r="B41" s="16" t="s">
        <v>183</v>
      </c>
      <c r="D41" s="17">
        <f>D31+D39</f>
        <v>6509993085</v>
      </c>
      <c r="E41" s="17">
        <f>E31+E39</f>
        <v>6548393085</v>
      </c>
      <c r="F41" s="17">
        <f>F31+F39</f>
        <v>6339351041</v>
      </c>
      <c r="G41" s="14">
        <f>E41-F41</f>
        <v>209042044</v>
      </c>
      <c r="H41" s="2" t="s">
        <v>183</v>
      </c>
    </row>
    <row r="42" spans="1:8">
      <c r="B42" s="21" t="s">
        <v>87</v>
      </c>
      <c r="C42" s="21"/>
      <c r="D42" s="21"/>
      <c r="E42" s="21"/>
      <c r="F42" s="21"/>
      <c r="G42" s="21"/>
      <c r="H42" s="21"/>
    </row>
    <row r="43" spans="1:8">
      <c r="A43" s="2" t="s">
        <v>210</v>
      </c>
      <c r="B43" s="18" t="s">
        <v>184</v>
      </c>
      <c r="C43" s="11" t="s">
        <v>251</v>
      </c>
      <c r="D43" s="22">
        <f>SUM(D44,D45)</f>
        <v>365000000</v>
      </c>
      <c r="E43" s="22">
        <f>SUM(E44,E45)</f>
        <v>365000000</v>
      </c>
      <c r="F43" s="22">
        <f>SUM(F44,F45)</f>
        <v>350000000</v>
      </c>
      <c r="G43" s="14">
        <f>E43-F43</f>
        <v>15000000</v>
      </c>
      <c r="H43" s="2" t="s">
        <v>185</v>
      </c>
    </row>
    <row r="44" spans="1:8">
      <c r="A44" s="2" t="s">
        <v>210</v>
      </c>
      <c r="B44" s="27" t="s">
        <v>252</v>
      </c>
      <c r="D44" s="13">
        <f>SUMIF('재무상태표'!$C$7:$C$57,$H44,'재무상태표'!$D$7:$D$57)</f>
        <v>200000000</v>
      </c>
      <c r="E44" s="13">
        <f>SUMIF('재무상태표'!$C$7:$C$57,$H44,'재무상태표'!$G$7:$G$57)</f>
        <v>200000000</v>
      </c>
      <c r="F44" s="13">
        <f>SUMIF('재무상태표'!$C$7:$C$57,$H44,'재무상태표'!$H$7:$H$57)</f>
        <v>200000000</v>
      </c>
      <c r="G44" s="14">
        <f>E44-F44</f>
        <v>0</v>
      </c>
      <c r="H44" s="2" t="s">
        <v>86</v>
      </c>
    </row>
    <row r="45" spans="1:8">
      <c r="A45" s="2" t="s">
        <v>210</v>
      </c>
      <c r="B45" s="27" t="s">
        <v>253</v>
      </c>
      <c r="D45" s="13">
        <f>SUMIF('재무상태표'!$C$7:$C$57,$H45,'재무상태표'!$D$7:$D$57)</f>
        <v>165000000</v>
      </c>
      <c r="E45" s="13">
        <f>SUMIF('재무상태표'!$C$7:$C$57,$H45,'재무상태표'!$G$7:$G$57)</f>
        <v>165000000</v>
      </c>
      <c r="F45" s="13">
        <f>SUMIF('재무상태표'!$C$7:$C$57,$H45,'재무상태표'!$H$7:$H$57)</f>
        <v>150000000</v>
      </c>
      <c r="G45" s="14">
        <f>E45-F45</f>
        <v>15000000</v>
      </c>
      <c r="H45" s="2" t="s">
        <v>89</v>
      </c>
    </row>
    <row r="46" spans="1:8">
      <c r="A46" s="2" t="s">
        <v>210</v>
      </c>
      <c r="B46" s="18" t="s">
        <v>186</v>
      </c>
      <c r="D46" s="22">
        <f>SUM(D47)</f>
        <v>29785000000</v>
      </c>
      <c r="E46" s="22">
        <f>SUM(E47)</f>
        <v>29785000000</v>
      </c>
      <c r="F46" s="22">
        <f>SUM(F47)</f>
        <v>26800000000</v>
      </c>
      <c r="G46" s="14">
        <f>E46-F46</f>
        <v>2985000000</v>
      </c>
      <c r="H46" s="2" t="s">
        <v>187</v>
      </c>
    </row>
    <row r="47" spans="1:8">
      <c r="A47" s="2" t="s">
        <v>210</v>
      </c>
      <c r="B47" s="27" t="s">
        <v>254</v>
      </c>
      <c r="D47" s="13">
        <f>SUMIF('재무상태표'!$C$7:$C$57,$H47,'재무상태표'!$D$7:$D$57)</f>
        <v>29785000000</v>
      </c>
      <c r="E47" s="13">
        <f>SUMIF('재무상태표'!$C$7:$C$57,$H47,'재무상태표'!$G$7:$G$57)</f>
        <v>29785000000</v>
      </c>
      <c r="F47" s="13">
        <f>SUMIF('재무상태표'!$C$7:$C$57,$H47,'재무상태표'!$H$7:$H$57)</f>
        <v>26800000000</v>
      </c>
      <c r="G47" s="14">
        <f>E47-F47</f>
        <v>2985000000</v>
      </c>
      <c r="H47" s="2" t="s">
        <v>90</v>
      </c>
    </row>
    <row r="48" spans="1:8">
      <c r="A48" s="2" t="s">
        <v>210</v>
      </c>
      <c r="B48" s="18" t="s">
        <v>188</v>
      </c>
      <c r="D48" s="22">
        <f>SUM(D49)</f>
        <v>420000000</v>
      </c>
      <c r="E48" s="22">
        <f>SUM(E49)</f>
        <v>420000000</v>
      </c>
      <c r="F48" s="22">
        <f>SUM(F49)</f>
        <v>240000000</v>
      </c>
      <c r="G48" s="14">
        <f>E48-F48</f>
        <v>180000000</v>
      </c>
      <c r="H48" s="2" t="s">
        <v>189</v>
      </c>
    </row>
    <row r="49" spans="1:8">
      <c r="A49" s="2" t="s">
        <v>210</v>
      </c>
      <c r="B49" s="27" t="s">
        <v>255</v>
      </c>
      <c r="C49" s="11" t="s">
        <v>256</v>
      </c>
      <c r="D49" s="13">
        <f>SUMIF('재무상태표'!$C$7:$C$57,$H49,'재무상태표'!$D$7:$D$57)</f>
        <v>420000000</v>
      </c>
      <c r="E49" s="13">
        <f>SUMIF('재무상태표'!$C$7:$C$57,$H49,'재무상태표'!$G$7:$G$57)</f>
        <v>420000000</v>
      </c>
      <c r="F49" s="13">
        <f>SUMIF('재무상태표'!$C$7:$C$57,$H49,'재무상태표'!$H$7:$H$57)</f>
        <v>240000000</v>
      </c>
      <c r="G49" s="14">
        <f>E49-F49</f>
        <v>180000000</v>
      </c>
      <c r="H49" s="2" t="s">
        <v>91</v>
      </c>
    </row>
    <row r="50" spans="1:8">
      <c r="A50" s="2" t="s">
        <v>210</v>
      </c>
      <c r="B50" s="18" t="s">
        <v>190</v>
      </c>
      <c r="D50" s="22">
        <f>SUM(D51)</f>
        <v>-27743296834</v>
      </c>
      <c r="E50" s="22">
        <f>SUM(E51)</f>
        <v>-27733168067</v>
      </c>
      <c r="F50" s="22">
        <f>SUM(F51)</f>
        <v>-23314373196</v>
      </c>
      <c r="G50" s="14">
        <f>E50-F50</f>
        <v>-4418794871</v>
      </c>
      <c r="H50" s="2" t="s">
        <v>191</v>
      </c>
    </row>
    <row r="51" spans="1:8">
      <c r="A51" s="2" t="s">
        <v>210</v>
      </c>
      <c r="B51" s="27" t="s">
        <v>257</v>
      </c>
      <c r="D51" s="13">
        <f>SUMIF('재무상태표'!$C$7:$C$57,$H51,'재무상태표'!$D$7:$D$57)</f>
        <v>-27743296834</v>
      </c>
      <c r="E51" s="13">
        <f>SUMIF('재무상태표'!$C$7:$C$57,$H51,'재무상태표'!$G$7:$G$57)</f>
        <v>-27733168067</v>
      </c>
      <c r="F51" s="13">
        <f>SUMIF('재무상태표'!$C$7:$C$57,$H51,'재무상태표'!$H$7:$H$57)</f>
        <v>-23314373196</v>
      </c>
      <c r="G51" s="14">
        <f>E51-F51</f>
        <v>-4418794871</v>
      </c>
      <c r="H51" s="2" t="s">
        <v>92</v>
      </c>
    </row>
    <row r="52" spans="1:8">
      <c r="A52" s="2" t="s">
        <v>210</v>
      </c>
      <c r="B52" s="16" t="s">
        <v>193</v>
      </c>
      <c r="D52" s="17">
        <f>D43+D46+D48+D50</f>
        <v>2826703166</v>
      </c>
      <c r="E52" s="17">
        <f>E43+E46+E48+E50</f>
        <v>2836831933</v>
      </c>
      <c r="F52" s="17">
        <f>F43+F46+F48+F50</f>
        <v>4075626804</v>
      </c>
      <c r="G52" s="14">
        <f>E52-F52</f>
        <v>-1238794871</v>
      </c>
      <c r="H52" s="2" t="s">
        <v>193</v>
      </c>
    </row>
    <row r="53" spans="1:8">
      <c r="A53" s="2" t="s">
        <v>210</v>
      </c>
      <c r="B53" s="16" t="s">
        <v>194</v>
      </c>
      <c r="D53" s="17">
        <f>D41+D52</f>
        <v>9336696251</v>
      </c>
      <c r="E53" s="17">
        <f>E41+E52</f>
        <v>9385225018</v>
      </c>
      <c r="F53" s="17">
        <f>F41+F52</f>
        <v>10414977845</v>
      </c>
      <c r="G53" s="14">
        <f>E53-F53</f>
        <v>-1029752827</v>
      </c>
      <c r="H53" s="2" t="s">
        <v>194</v>
      </c>
    </row>
    <row r="55" spans="1:8">
      <c r="B55" s="18" t="s">
        <v>258</v>
      </c>
      <c r="D55" s="19" t="str">
        <f>IF(ROUND(D29-'재무상태표'!D32,0)=0,"OK","차이")</f>
        <v>OK</v>
      </c>
      <c r="E55" s="19" t="str">
        <f>IF(ROUND(E29-'재무상태표'!G32,0)=0,"OK","차이")</f>
        <v>OK</v>
      </c>
      <c r="F55" s="19" t="str">
        <f>IF(ROUND(F29-'재무상태표'!H32,0)=0,"OK","차이")</f>
        <v>OK</v>
      </c>
    </row>
    <row r="56" spans="1:8">
      <c r="B56" s="18" t="s">
        <v>259</v>
      </c>
      <c r="D56" s="19" t="str">
        <f>IF(ROUND(D29-D53,0)=0,"OK","Imbalanced")</f>
        <v>OK</v>
      </c>
      <c r="E56" s="19" t="str">
        <f>IF(ROUND(E29-E53,0)=0,"OK","Imbalanced")</f>
        <v>OK</v>
      </c>
      <c r="F56" s="19" t="str">
        <f>IF(ROUND(F29-F53,0)=0,"OK","Imbalanced")</f>
        <v>OK</v>
      </c>
    </row>
  </sheetData>
  <pageMargins left="0.4" right="0.4" top="0.5" bottom="0.5" header="0.3" footer="0.3"/>
  <pageSetup paperSize="9" fitToHeight="0" orientation="portrait"/>
  <headerFooter>
    <oddFooter>&amp;L&amp;8도담소프트(가상) 전기조서 WTB 2024&amp;C&amp;8&amp;A&amp;R&amp;8&amp;P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H43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34.7109375" customWidth="1"/>
    <col min="3" max="3" width="8.7109375" customWidth="1"/>
    <col min="4" max="7" width="17.7109375" customWidth="1"/>
    <col min="8" max="8" width="24.7109375" customWidth="1"/>
  </cols>
  <sheetData>
    <row r="1" spans="1:8">
      <c r="B1" s="1" t="s">
        <v>260</v>
      </c>
    </row>
    <row r="2" spans="1:8">
      <c r="B2" s="2" t="s">
        <v>261</v>
      </c>
    </row>
    <row r="4" spans="1:8">
      <c r="A4" s="6" t="s">
        <v>3</v>
      </c>
      <c r="B4" s="6" t="s">
        <v>204</v>
      </c>
      <c r="C4" s="6" t="s">
        <v>205</v>
      </c>
      <c r="D4" s="6" t="s">
        <v>206</v>
      </c>
      <c r="E4" s="6" t="s">
        <v>207</v>
      </c>
      <c r="F4" s="6" t="s">
        <v>208</v>
      </c>
      <c r="G4" s="6" t="s">
        <v>134</v>
      </c>
      <c r="H4" s="6" t="s">
        <v>209</v>
      </c>
    </row>
    <row r="5" spans="1:8">
      <c r="A5" s="2" t="s">
        <v>262</v>
      </c>
      <c r="B5" s="18" t="s">
        <v>138</v>
      </c>
      <c r="C5" s="11" t="s">
        <v>263</v>
      </c>
      <c r="D5" s="22">
        <f>SUM(D6,D7)</f>
        <v>9990547268</v>
      </c>
      <c r="E5" s="22">
        <f>SUM(E6,E7)</f>
        <v>9990547268</v>
      </c>
      <c r="F5" s="22">
        <f>SUM(F6,F7)</f>
        <v>8526408762</v>
      </c>
      <c r="G5" s="14">
        <f>E5-F5</f>
        <v>1464138506</v>
      </c>
      <c r="H5" s="2" t="s">
        <v>139</v>
      </c>
    </row>
    <row r="6" spans="1:8">
      <c r="A6" s="2" t="s">
        <v>262</v>
      </c>
      <c r="B6" s="27" t="s">
        <v>264</v>
      </c>
      <c r="D6" s="13">
        <f>SUMIF('손익계산서'!$C$7:$C$43,$H6,'손익계산서'!$E$7:$E$43)</f>
        <v>8175103384</v>
      </c>
      <c r="E6" s="13">
        <f>SUMIF('손익계산서'!$C$7:$C$43,$H6,'손익계산서'!$H$7:$H$43)</f>
        <v>8175103384</v>
      </c>
      <c r="F6" s="13">
        <f>SUMIF('손익계산서'!$C$7:$C$43,$H6,'손익계산서'!$I$7:$I$43)</f>
        <v>7008516131</v>
      </c>
      <c r="G6" s="14">
        <f>E6-F6</f>
        <v>1166587253</v>
      </c>
      <c r="H6" s="2" t="s">
        <v>93</v>
      </c>
    </row>
    <row r="7" spans="1:8">
      <c r="A7" s="2" t="s">
        <v>262</v>
      </c>
      <c r="B7" s="27" t="s">
        <v>265</v>
      </c>
      <c r="D7" s="13">
        <f>SUMIF('손익계산서'!$C$7:$C$43,$H7,'손익계산서'!$E$7:$E$43)</f>
        <v>1815443884</v>
      </c>
      <c r="E7" s="13">
        <f>SUMIF('손익계산서'!$C$7:$C$43,$H7,'손익계산서'!$H$7:$H$43)</f>
        <v>1815443884</v>
      </c>
      <c r="F7" s="13">
        <f>SUMIF('손익계산서'!$C$7:$C$43,$H7,'손익계산서'!$I$7:$I$43)</f>
        <v>1517892631</v>
      </c>
      <c r="G7" s="14">
        <f>E7-F7</f>
        <v>297551253</v>
      </c>
      <c r="H7" s="2" t="s">
        <v>95</v>
      </c>
    </row>
    <row r="8" spans="1:8">
      <c r="A8" s="2" t="s">
        <v>262</v>
      </c>
      <c r="B8" s="18" t="s">
        <v>141</v>
      </c>
      <c r="D8" s="22">
        <f>SUM(D9)</f>
        <v>2363760000</v>
      </c>
      <c r="E8" s="22">
        <f>SUM(E9)</f>
        <v>2402160000</v>
      </c>
      <c r="F8" s="22">
        <f>SUM(F9)</f>
        <v>1973374440</v>
      </c>
      <c r="G8" s="14">
        <f>E8-F8</f>
        <v>428785560</v>
      </c>
      <c r="H8" s="2" t="s">
        <v>142</v>
      </c>
    </row>
    <row r="9" spans="1:8">
      <c r="A9" s="2" t="s">
        <v>262</v>
      </c>
      <c r="B9" s="27" t="s">
        <v>266</v>
      </c>
      <c r="D9" s="13">
        <f>SUMIF('손익계산서'!$C$7:$C$43,$H9,'손익계산서'!$E$7:$E$43)</f>
        <v>2363760000</v>
      </c>
      <c r="E9" s="13">
        <f>SUMIF('손익계산서'!$C$7:$C$43,$H9,'손익계산서'!$H$7:$H$43)</f>
        <v>2402160000</v>
      </c>
      <c r="F9" s="13">
        <f>SUMIF('손익계산서'!$C$7:$C$43,$H9,'손익계산서'!$I$7:$I$43)</f>
        <v>1973374440</v>
      </c>
      <c r="G9" s="14">
        <f>E9-F9</f>
        <v>428785560</v>
      </c>
      <c r="H9" s="2" t="s">
        <v>20</v>
      </c>
    </row>
    <row r="10" spans="1:8">
      <c r="A10" s="2" t="s">
        <v>262</v>
      </c>
      <c r="B10" s="18" t="s">
        <v>145</v>
      </c>
      <c r="D10" s="22">
        <f>D5-D8</f>
        <v>7626787268</v>
      </c>
      <c r="E10" s="22">
        <f>E5-E8</f>
        <v>7588387268</v>
      </c>
      <c r="F10" s="22">
        <f>F5-F8</f>
        <v>6553034322</v>
      </c>
      <c r="G10" s="14">
        <f>E10-F10</f>
        <v>1035352946</v>
      </c>
      <c r="H10" s="2" t="s">
        <v>267</v>
      </c>
    </row>
    <row r="11" spans="1:8">
      <c r="A11" s="2" t="s">
        <v>262</v>
      </c>
      <c r="B11" s="18" t="s">
        <v>146</v>
      </c>
      <c r="D11" s="22">
        <f>SUM(D12,D13,D14,D15,D16,D17,D18,D19,D20,D21,D22,D23,D24,D25,D26,D27,D28,D29,D30)</f>
        <v>11939296577</v>
      </c>
      <c r="E11" s="22">
        <f>SUM(E12,E13,E14,E15,E16,E17,E18,E19,E20,E21,E22,E23,E24,E25,E26,E27,E28,E29,E30)</f>
        <v>11894296577</v>
      </c>
      <c r="F11" s="22">
        <f>SUM(F12,F13,F14,F15,F16,F17,F18,F19,F20,F21,F22,F23,F24,F25,F26,F27,F28,F29,F30)</f>
        <v>10115191863</v>
      </c>
      <c r="G11" s="14">
        <f>E11-F11</f>
        <v>1779104714</v>
      </c>
      <c r="H11" s="2" t="s">
        <v>147</v>
      </c>
    </row>
    <row r="12" spans="1:8">
      <c r="A12" s="2" t="s">
        <v>262</v>
      </c>
      <c r="B12" s="27" t="s">
        <v>268</v>
      </c>
      <c r="D12" s="13">
        <f>SUMIF('손익계산서'!$C$7:$C$43,$H12,'손익계산서'!$E$7:$E$43)</f>
        <v>3609528000</v>
      </c>
      <c r="E12" s="13">
        <f>SUMIF('손익계산서'!$C$7:$C$43,$H12,'손익계산서'!$H$7:$H$43)</f>
        <v>3609528000</v>
      </c>
      <c r="F12" s="13">
        <f>SUMIF('손익계산서'!$C$7:$C$43,$H12,'손익계산서'!$I$7:$I$43)</f>
        <v>3108525513</v>
      </c>
      <c r="G12" s="14">
        <f>E12-F12</f>
        <v>501002487</v>
      </c>
      <c r="H12" s="2" t="s">
        <v>99</v>
      </c>
    </row>
    <row r="13" spans="1:8">
      <c r="A13" s="2" t="s">
        <v>262</v>
      </c>
      <c r="B13" s="27" t="s">
        <v>269</v>
      </c>
      <c r="D13" s="13">
        <f>SUMIF('손익계산서'!$C$7:$C$43,$H13,'손익계산서'!$E$7:$E$43)</f>
        <v>240000000</v>
      </c>
      <c r="E13" s="13">
        <f>SUMIF('손익계산서'!$C$7:$C$43,$H13,'손익계산서'!$H$7:$H$43)</f>
        <v>240000000</v>
      </c>
      <c r="F13" s="13">
        <f>SUMIF('손익계산서'!$C$7:$C$43,$H13,'손익계산서'!$I$7:$I$43)</f>
        <v>186000000</v>
      </c>
      <c r="G13" s="14">
        <f>E13-F13</f>
        <v>54000000</v>
      </c>
      <c r="H13" s="2" t="s">
        <v>101</v>
      </c>
    </row>
    <row r="14" spans="1:8">
      <c r="A14" s="2" t="s">
        <v>262</v>
      </c>
      <c r="B14" s="27" t="s">
        <v>270</v>
      </c>
      <c r="C14" s="11" t="s">
        <v>271</v>
      </c>
      <c r="D14" s="13">
        <f>SUMIF('손익계산서'!$C$7:$C$43,$H14,'손익계산서'!$E$7:$E$43)</f>
        <v>300793996</v>
      </c>
      <c r="E14" s="13">
        <f>SUMIF('손익계산서'!$C$7:$C$43,$H14,'손익계산서'!$H$7:$H$43)</f>
        <v>300793996</v>
      </c>
      <c r="F14" s="13">
        <f>SUMIF('손익계산서'!$C$7:$C$43,$H14,'손익계산서'!$I$7:$I$43)</f>
        <v>259043789</v>
      </c>
      <c r="G14" s="14">
        <f>E14-F14</f>
        <v>41750207</v>
      </c>
      <c r="H14" s="2" t="s">
        <v>102</v>
      </c>
    </row>
    <row r="15" spans="1:8">
      <c r="A15" s="2" t="s">
        <v>262</v>
      </c>
      <c r="B15" s="27" t="s">
        <v>272</v>
      </c>
      <c r="D15" s="13">
        <f>SUMIF('손익계산서'!$C$7:$C$43,$H15,'손익계산서'!$E$7:$E$43)</f>
        <v>597765320</v>
      </c>
      <c r="E15" s="13">
        <f>SUMIF('손익계산서'!$C$7:$C$43,$H15,'손익계산서'!$H$7:$H$43)</f>
        <v>597765320</v>
      </c>
      <c r="F15" s="13">
        <f>SUMIF('손익계산서'!$C$7:$C$43,$H15,'손익계산서'!$I$7:$I$43)</f>
        <v>504334600</v>
      </c>
      <c r="G15" s="14">
        <f>E15-F15</f>
        <v>93430720</v>
      </c>
      <c r="H15" s="2" t="s">
        <v>103</v>
      </c>
    </row>
    <row r="16" spans="1:8">
      <c r="A16" s="2" t="s">
        <v>262</v>
      </c>
      <c r="B16" s="27" t="s">
        <v>273</v>
      </c>
      <c r="D16" s="13">
        <f>SUMIF('손익계산서'!$C$7:$C$43,$H16,'손익계산서'!$E$7:$E$43)</f>
        <v>120960000</v>
      </c>
      <c r="E16" s="13">
        <f>SUMIF('손익계산서'!$C$7:$C$43,$H16,'손익계산서'!$H$7:$H$43)</f>
        <v>120960000</v>
      </c>
      <c r="F16" s="13">
        <f>SUMIF('손익계산서'!$C$7:$C$43,$H16,'손익계산서'!$I$7:$I$43)</f>
        <v>99078336</v>
      </c>
      <c r="G16" s="14">
        <f>E16-F16</f>
        <v>21881664</v>
      </c>
      <c r="H16" s="2" t="s">
        <v>104</v>
      </c>
    </row>
    <row r="17" spans="1:8">
      <c r="A17" s="2" t="s">
        <v>262</v>
      </c>
      <c r="B17" s="27" t="s">
        <v>274</v>
      </c>
      <c r="D17" s="13">
        <f>SUMIF('손익계산서'!$C$7:$C$43,$H17,'손익계산서'!$E$7:$E$43)</f>
        <v>60480000</v>
      </c>
      <c r="E17" s="13">
        <f>SUMIF('손익계산서'!$C$7:$C$43,$H17,'손익계산서'!$H$7:$H$43)</f>
        <v>60480000</v>
      </c>
      <c r="F17" s="13">
        <f>SUMIF('손익계산서'!$C$7:$C$43,$H17,'손익계산서'!$I$7:$I$43)</f>
        <v>50004864</v>
      </c>
      <c r="G17" s="14">
        <f>E17-F17</f>
        <v>10475136</v>
      </c>
      <c r="H17" s="2" t="s">
        <v>105</v>
      </c>
    </row>
    <row r="18" spans="1:8">
      <c r="A18" s="2" t="s">
        <v>262</v>
      </c>
      <c r="B18" s="27" t="s">
        <v>275</v>
      </c>
      <c r="D18" s="13">
        <f>SUMIF('손익계산서'!$C$7:$C$43,$H18,'손익계산서'!$E$7:$E$43)</f>
        <v>60480000</v>
      </c>
      <c r="E18" s="13">
        <f>SUMIF('손익계산서'!$C$7:$C$43,$H18,'손익계산서'!$H$7:$H$43)</f>
        <v>60480000</v>
      </c>
      <c r="F18" s="13">
        <f>SUMIF('손익계산서'!$C$7:$C$43,$H18,'손익계산서'!$I$7:$I$43)</f>
        <v>54643680</v>
      </c>
      <c r="G18" s="14">
        <f>E18-F18</f>
        <v>5836320</v>
      </c>
      <c r="H18" s="2" t="s">
        <v>106</v>
      </c>
    </row>
    <row r="19" spans="1:8">
      <c r="A19" s="2" t="s">
        <v>262</v>
      </c>
      <c r="B19" s="27" t="s">
        <v>276</v>
      </c>
      <c r="D19" s="13">
        <f>SUMIF('손익계산서'!$C$7:$C$43,$H19,'손익계산서'!$E$7:$E$43)</f>
        <v>330632820</v>
      </c>
      <c r="E19" s="13">
        <f>SUMIF('손익계산서'!$C$7:$C$43,$H19,'손익계산서'!$H$7:$H$43)</f>
        <v>330632820</v>
      </c>
      <c r="F19" s="13">
        <f>SUMIF('손익계산서'!$C$7:$C$43,$H19,'손익계산서'!$I$7:$I$43)</f>
        <v>282988630</v>
      </c>
      <c r="G19" s="14">
        <f>E19-F19</f>
        <v>47644190</v>
      </c>
      <c r="H19" s="2" t="s">
        <v>107</v>
      </c>
    </row>
    <row r="20" spans="1:8">
      <c r="A20" s="2" t="s">
        <v>262</v>
      </c>
      <c r="B20" s="27" t="s">
        <v>277</v>
      </c>
      <c r="C20" s="11" t="s">
        <v>278</v>
      </c>
      <c r="D20" s="13">
        <f>SUMIF('손익계산서'!$C$7:$C$43,$H20,'손익계산서'!$E$7:$E$43)</f>
        <v>437310318</v>
      </c>
      <c r="E20" s="13">
        <f>SUMIF('손익계산서'!$C$7:$C$43,$H20,'손익계산서'!$H$7:$H$43)</f>
        <v>437310318</v>
      </c>
      <c r="F20" s="13">
        <f>SUMIF('손익계산서'!$C$7:$C$43,$H20,'손익계산서'!$I$7:$I$43)</f>
        <v>385458225</v>
      </c>
      <c r="G20" s="14">
        <f>E20-F20</f>
        <v>51852093</v>
      </c>
      <c r="H20" s="2" t="s">
        <v>108</v>
      </c>
    </row>
    <row r="21" spans="1:8">
      <c r="A21" s="2" t="s">
        <v>262</v>
      </c>
      <c r="B21" s="27" t="s">
        <v>279</v>
      </c>
      <c r="C21" s="11" t="s">
        <v>239</v>
      </c>
      <c r="D21" s="13">
        <f>SUMIF('손익계산서'!$C$7:$C$43,$H21,'손익계산서'!$E$7:$E$43)</f>
        <v>410160000</v>
      </c>
      <c r="E21" s="13">
        <f>SUMIF('손익계산서'!$C$7:$C$43,$H21,'손익계산서'!$H$7:$H$43)</f>
        <v>410160000</v>
      </c>
      <c r="F21" s="13">
        <f>SUMIF('손익계산서'!$C$7:$C$43,$H21,'손익계산서'!$I$7:$I$43)</f>
        <v>386160000</v>
      </c>
      <c r="G21" s="14">
        <f>E21-F21</f>
        <v>24000000</v>
      </c>
      <c r="H21" s="2" t="s">
        <v>109</v>
      </c>
    </row>
    <row r="22" spans="1:8">
      <c r="A22" s="2" t="s">
        <v>262</v>
      </c>
      <c r="B22" s="27" t="s">
        <v>280</v>
      </c>
      <c r="D22" s="13">
        <f>SUMIF('손익계산서'!$C$7:$C$43,$H22,'손익계산서'!$E$7:$E$43)</f>
        <v>152379460</v>
      </c>
      <c r="E22" s="13">
        <f>SUMIF('손익계산서'!$C$7:$C$43,$H22,'손익계산서'!$H$7:$H$43)</f>
        <v>152379460</v>
      </c>
      <c r="F22" s="13">
        <f>SUMIF('손익계산서'!$C$7:$C$43,$H22,'손익계산서'!$I$7:$I$43)</f>
        <v>134794870</v>
      </c>
      <c r="G22" s="14">
        <f>E22-F22</f>
        <v>17584590</v>
      </c>
      <c r="H22" s="2" t="s">
        <v>110</v>
      </c>
    </row>
    <row r="23" spans="1:8">
      <c r="A23" s="2" t="s">
        <v>262</v>
      </c>
      <c r="B23" s="27" t="s">
        <v>281</v>
      </c>
      <c r="D23" s="13">
        <f>SUMIF('손익계산서'!$C$7:$C$43,$H23,'손익계산서'!$E$7:$E$43)</f>
        <v>50400000</v>
      </c>
      <c r="E23" s="13">
        <f>SUMIF('손익계산서'!$C$7:$C$43,$H23,'손익계산서'!$H$7:$H$43)</f>
        <v>50400000</v>
      </c>
      <c r="F23" s="13">
        <f>SUMIF('손익계산서'!$C$7:$C$43,$H23,'손익계산서'!$I$7:$I$43)</f>
        <v>46000080</v>
      </c>
      <c r="G23" s="14">
        <f>E23-F23</f>
        <v>4399920</v>
      </c>
      <c r="H23" s="2" t="s">
        <v>111</v>
      </c>
    </row>
    <row r="24" spans="1:8">
      <c r="A24" s="2" t="s">
        <v>262</v>
      </c>
      <c r="B24" s="27" t="s">
        <v>282</v>
      </c>
      <c r="D24" s="13">
        <f>SUMIF('손익계산서'!$C$7:$C$43,$H24,'손익계산서'!$E$7:$E$43)</f>
        <v>20160000</v>
      </c>
      <c r="E24" s="13">
        <f>SUMIF('손익계산서'!$C$7:$C$43,$H24,'손익계산서'!$H$7:$H$43)</f>
        <v>20160000</v>
      </c>
      <c r="F24" s="13">
        <f>SUMIF('손익계산서'!$C$7:$C$43,$H24,'손익계산서'!$I$7:$I$43)</f>
        <v>17559360</v>
      </c>
      <c r="G24" s="14">
        <f>E24-F24</f>
        <v>2600640</v>
      </c>
      <c r="H24" s="2" t="s">
        <v>112</v>
      </c>
    </row>
    <row r="25" spans="1:8">
      <c r="A25" s="2" t="s">
        <v>262</v>
      </c>
      <c r="B25" s="27" t="s">
        <v>283</v>
      </c>
      <c r="D25" s="13">
        <f>SUMIF('손익계산서'!$C$7:$C$43,$H25,'손익계산서'!$E$7:$E$43)</f>
        <v>80640000</v>
      </c>
      <c r="E25" s="13">
        <f>SUMIF('손익계산서'!$C$7:$C$43,$H25,'손익계산서'!$H$7:$H$43)</f>
        <v>80640000</v>
      </c>
      <c r="F25" s="13">
        <f>SUMIF('손익계산서'!$C$7:$C$43,$H25,'손익계산서'!$I$7:$I$43)</f>
        <v>68156928</v>
      </c>
      <c r="G25" s="14">
        <f>E25-F25</f>
        <v>12483072</v>
      </c>
      <c r="H25" s="2" t="s">
        <v>113</v>
      </c>
    </row>
    <row r="26" spans="1:8">
      <c r="A26" s="2" t="s">
        <v>262</v>
      </c>
      <c r="B26" s="27" t="s">
        <v>284</v>
      </c>
      <c r="C26" s="11" t="s">
        <v>285</v>
      </c>
      <c r="D26" s="13">
        <f>SUMIF('손익계산서'!$C$7:$C$43,$H26,'손익계산서'!$E$7:$E$43)</f>
        <v>506849667</v>
      </c>
      <c r="E26" s="13">
        <f>SUMIF('손익계산서'!$C$7:$C$43,$H26,'손익계산서'!$H$7:$H$43)</f>
        <v>461849667</v>
      </c>
      <c r="F26" s="13">
        <f>SUMIF('손익계산서'!$C$7:$C$43,$H26,'손익계산서'!$I$7:$I$43)</f>
        <v>377515917</v>
      </c>
      <c r="G26" s="14">
        <f>E26-F26</f>
        <v>84333750</v>
      </c>
      <c r="H26" s="2" t="s">
        <v>26</v>
      </c>
    </row>
    <row r="27" spans="1:8">
      <c r="A27" s="2" t="s">
        <v>262</v>
      </c>
      <c r="B27" s="27" t="s">
        <v>286</v>
      </c>
      <c r="D27" s="13">
        <f>SUMIF('손익계산서'!$C$7:$C$43,$H27,'손익계산서'!$E$7:$E$43)</f>
        <v>692400000</v>
      </c>
      <c r="E27" s="13">
        <f>SUMIF('손익계산서'!$C$7:$C$43,$H27,'손익계산서'!$H$7:$H$43)</f>
        <v>692400000</v>
      </c>
      <c r="F27" s="13">
        <f>SUMIF('손익계산서'!$C$7:$C$43,$H27,'손익계산서'!$I$7:$I$43)</f>
        <v>532594080</v>
      </c>
      <c r="G27" s="14">
        <f>E27-F27</f>
        <v>159805920</v>
      </c>
      <c r="H27" s="2" t="s">
        <v>114</v>
      </c>
    </row>
    <row r="28" spans="1:8">
      <c r="A28" s="2" t="s">
        <v>262</v>
      </c>
      <c r="B28" s="27" t="s">
        <v>287</v>
      </c>
      <c r="C28" s="11" t="s">
        <v>234</v>
      </c>
      <c r="D28" s="13">
        <f>SUMIF('손익계산서'!$C$7:$C$43,$H28,'손익계산서'!$E$7:$E$43)</f>
        <v>38999996</v>
      </c>
      <c r="E28" s="13">
        <f>SUMIF('손익계산서'!$C$7:$C$43,$H28,'손익계산서'!$H$7:$H$43)</f>
        <v>38999996</v>
      </c>
      <c r="F28" s="13">
        <f>SUMIF('손익계산서'!$C$7:$C$43,$H28,'손익계산서'!$I$7:$I$43)</f>
        <v>32016663</v>
      </c>
      <c r="G28" s="14">
        <f>E28-F28</f>
        <v>6983333</v>
      </c>
      <c r="H28" s="2" t="s">
        <v>115</v>
      </c>
    </row>
    <row r="29" spans="1:8">
      <c r="A29" s="2" t="s">
        <v>262</v>
      </c>
      <c r="B29" s="27" t="s">
        <v>288</v>
      </c>
      <c r="D29" s="13">
        <f>SUMIF('손익계산서'!$C$7:$C$43,$H29,'손익계산서'!$E$7:$E$43)</f>
        <v>4049357000</v>
      </c>
      <c r="E29" s="13">
        <f>SUMIF('손익계산서'!$C$7:$C$43,$H29,'손익계산서'!$H$7:$H$43)</f>
        <v>4049357000</v>
      </c>
      <c r="F29" s="13">
        <f>SUMIF('손익계산서'!$C$7:$C$43,$H29,'손익계산서'!$I$7:$I$43)</f>
        <v>3455316328</v>
      </c>
      <c r="G29" s="14">
        <f>E29-F29</f>
        <v>594040672</v>
      </c>
      <c r="H29" s="2" t="s">
        <v>116</v>
      </c>
    </row>
    <row r="30" spans="1:8">
      <c r="A30" s="2" t="s">
        <v>262</v>
      </c>
      <c r="B30" s="27" t="s">
        <v>289</v>
      </c>
      <c r="C30" s="11" t="s">
        <v>256</v>
      </c>
      <c r="D30" s="13">
        <f>SUMIF('손익계산서'!$C$7:$C$43,$H30,'손익계산서'!$E$7:$E$43)</f>
        <v>180000000</v>
      </c>
      <c r="E30" s="13">
        <f>SUMIF('손익계산서'!$C$7:$C$43,$H30,'손익계산서'!$H$7:$H$43)</f>
        <v>180000000</v>
      </c>
      <c r="F30" s="13">
        <f>SUMIF('손익계산서'!$C$7:$C$43,$H30,'손익계산서'!$I$7:$I$43)</f>
        <v>135000000</v>
      </c>
      <c r="G30" s="14">
        <f>E30-F30</f>
        <v>45000000</v>
      </c>
      <c r="H30" s="2" t="s">
        <v>117</v>
      </c>
    </row>
    <row r="31" spans="1:8">
      <c r="A31" s="2" t="s">
        <v>262</v>
      </c>
      <c r="B31" s="18" t="s">
        <v>290</v>
      </c>
      <c r="D31" s="22">
        <f>D10-D11</f>
        <v>-4312509309</v>
      </c>
      <c r="E31" s="22">
        <f>E10-E11</f>
        <v>-4305909309</v>
      </c>
      <c r="F31" s="22">
        <f>F10-F11</f>
        <v>-3562157541</v>
      </c>
      <c r="G31" s="14">
        <f>E31-F31</f>
        <v>-743751768</v>
      </c>
      <c r="H31" s="2" t="s">
        <v>291</v>
      </c>
    </row>
    <row r="32" spans="1:8">
      <c r="A32" s="2" t="s">
        <v>262</v>
      </c>
      <c r="B32" s="18" t="s">
        <v>151</v>
      </c>
      <c r="D32" s="22">
        <f>SUM(D33,D34,D35)</f>
        <v>125560260</v>
      </c>
      <c r="E32" s="22">
        <f>SUM(E33,E34,E35)</f>
        <v>129089027</v>
      </c>
      <c r="F32" s="22">
        <f>SUM(F33,F34,F35)</f>
        <v>115797660</v>
      </c>
      <c r="G32" s="14">
        <f>E32-F32</f>
        <v>13291367</v>
      </c>
      <c r="H32" s="2" t="s">
        <v>152</v>
      </c>
    </row>
    <row r="33" spans="1:8">
      <c r="A33" s="2" t="s">
        <v>262</v>
      </c>
      <c r="B33" s="27" t="s">
        <v>292</v>
      </c>
      <c r="D33" s="13">
        <f>SUMIF('손익계산서'!$C$7:$C$43,$H33,'손익계산서'!$E$7:$E$43)</f>
        <v>111870137</v>
      </c>
      <c r="E33" s="13">
        <f>SUMIF('손익계산서'!$C$7:$C$43,$H33,'손익계산서'!$H$7:$H$43)</f>
        <v>115398904</v>
      </c>
      <c r="F33" s="13">
        <f>SUMIF('손익계산서'!$C$7:$C$43,$H33,'손익계산서'!$I$7:$I$43)</f>
        <v>111187252</v>
      </c>
      <c r="G33" s="14">
        <f>E33-F33</f>
        <v>4211652</v>
      </c>
      <c r="H33" s="2" t="s">
        <v>31</v>
      </c>
    </row>
    <row r="34" spans="1:8">
      <c r="A34" s="2" t="s">
        <v>262</v>
      </c>
      <c r="B34" s="27" t="s">
        <v>293</v>
      </c>
      <c r="D34" s="13">
        <f>SUMIF('손익계산서'!$C$7:$C$43,$H34,'손익계산서'!$E$7:$E$43)</f>
        <v>921967</v>
      </c>
      <c r="E34" s="13">
        <f>SUMIF('손익계산서'!$C$7:$C$43,$H34,'손익계산서'!$H$7:$H$43)</f>
        <v>921967</v>
      </c>
      <c r="F34" s="13">
        <f>SUMIF('손익계산서'!$C$7:$C$43,$H34,'손익계산서'!$I$7:$I$43)</f>
        <v>1483920</v>
      </c>
      <c r="G34" s="14">
        <f>E34-F34</f>
        <v>-561953</v>
      </c>
      <c r="H34" s="2" t="s">
        <v>118</v>
      </c>
    </row>
    <row r="35" spans="1:8">
      <c r="A35" s="2" t="s">
        <v>262</v>
      </c>
      <c r="B35" s="27" t="s">
        <v>294</v>
      </c>
      <c r="C35" s="11" t="s">
        <v>295</v>
      </c>
      <c r="D35" s="13">
        <f>SUMIF('손익계산서'!$C$7:$C$43,$H35,'손익계산서'!$E$7:$E$43)</f>
        <v>12768156</v>
      </c>
      <c r="E35" s="13">
        <f>SUMIF('손익계산서'!$C$7:$C$43,$H35,'손익계산서'!$H$7:$H$43)</f>
        <v>12768156</v>
      </c>
      <c r="F35" s="13">
        <f>SUMIF('손익계산서'!$C$7:$C$43,$H35,'손익계산서'!$I$7:$I$43)</f>
        <v>3126488</v>
      </c>
      <c r="G35" s="14">
        <f>E35-F35</f>
        <v>9641668</v>
      </c>
      <c r="H35" s="2" t="s">
        <v>119</v>
      </c>
    </row>
    <row r="36" spans="1:8">
      <c r="A36" s="2" t="s">
        <v>262</v>
      </c>
      <c r="B36" s="18" t="s">
        <v>155</v>
      </c>
      <c r="D36" s="22">
        <f>SUM(D37,D38)</f>
        <v>241974589</v>
      </c>
      <c r="E36" s="22">
        <f>SUM(E37,E38)</f>
        <v>241974589</v>
      </c>
      <c r="F36" s="22">
        <f>SUM(F37,F38)</f>
        <v>173861370</v>
      </c>
      <c r="G36" s="14">
        <f>E36-F36</f>
        <v>68113219</v>
      </c>
      <c r="H36" s="2" t="s">
        <v>156</v>
      </c>
    </row>
    <row r="37" spans="1:8">
      <c r="A37" s="2" t="s">
        <v>262</v>
      </c>
      <c r="B37" s="27" t="s">
        <v>296</v>
      </c>
      <c r="C37" s="11" t="s">
        <v>250</v>
      </c>
      <c r="D37" s="13">
        <f>SUMIF('손익계산서'!$C$7:$C$43,$H37,'손익계산서'!$E$7:$E$43)</f>
        <v>240000000</v>
      </c>
      <c r="E37" s="13">
        <f>SUMIF('손익계산서'!$C$7:$C$43,$H37,'손익계산서'!$H$7:$H$43)</f>
        <v>240000000</v>
      </c>
      <c r="F37" s="13">
        <f>SUMIF('손익계산서'!$C$7:$C$43,$H37,'손익계산서'!$I$7:$I$43)</f>
        <v>171000000</v>
      </c>
      <c r="G37" s="14">
        <f>E37-F37</f>
        <v>69000000</v>
      </c>
      <c r="H37" s="2" t="s">
        <v>120</v>
      </c>
    </row>
    <row r="38" spans="1:8">
      <c r="A38" s="2" t="s">
        <v>262</v>
      </c>
      <c r="B38" s="27" t="s">
        <v>297</v>
      </c>
      <c r="D38" s="13">
        <f>SUMIF('손익계산서'!$C$7:$C$43,$H38,'손익계산서'!$E$7:$E$43)</f>
        <v>1974589</v>
      </c>
      <c r="E38" s="13">
        <f>SUMIF('손익계산서'!$C$7:$C$43,$H38,'손익계산서'!$H$7:$H$43)</f>
        <v>1974589</v>
      </c>
      <c r="F38" s="13">
        <f>SUMIF('손익계산서'!$C$7:$C$43,$H38,'손익계산서'!$I$7:$I$43)</f>
        <v>2861370</v>
      </c>
      <c r="G38" s="14">
        <f>E38-F38</f>
        <v>-886781</v>
      </c>
      <c r="H38" s="2" t="s">
        <v>121</v>
      </c>
    </row>
    <row r="39" spans="1:8">
      <c r="A39" s="2" t="s">
        <v>262</v>
      </c>
      <c r="B39" s="18" t="s">
        <v>298</v>
      </c>
      <c r="D39" s="22">
        <f>D31+D32-D36</f>
        <v>-4428923638</v>
      </c>
      <c r="E39" s="22">
        <f>E31+E32-E36</f>
        <v>-4418794871</v>
      </c>
      <c r="F39" s="22">
        <f>F31+F32-F36</f>
        <v>-3620221251</v>
      </c>
      <c r="G39" s="14">
        <f>E39-F39</f>
        <v>-798573620</v>
      </c>
      <c r="H39" s="2" t="s">
        <v>299</v>
      </c>
    </row>
    <row r="40" spans="1:8">
      <c r="A40" s="2" t="s">
        <v>262</v>
      </c>
      <c r="B40" s="18" t="s">
        <v>159</v>
      </c>
      <c r="C40" s="11" t="s">
        <v>222</v>
      </c>
      <c r="D40" s="22">
        <f>SUM(0)</f>
        <v>0</v>
      </c>
      <c r="E40" s="22">
        <f>SUM(0)</f>
        <v>0</v>
      </c>
      <c r="F40" s="22">
        <f>SUM(0)</f>
        <v>0</v>
      </c>
      <c r="G40" s="14">
        <f>E40-F40</f>
        <v>0</v>
      </c>
      <c r="H40" s="2" t="s">
        <v>160</v>
      </c>
    </row>
    <row r="41" spans="1:8">
      <c r="A41" s="2" t="s">
        <v>262</v>
      </c>
      <c r="B41" s="18" t="s">
        <v>300</v>
      </c>
      <c r="D41" s="22">
        <f>D39-D40</f>
        <v>-4428923638</v>
      </c>
      <c r="E41" s="22">
        <f>E39-E40</f>
        <v>-4418794871</v>
      </c>
      <c r="F41" s="22">
        <f>F39-F40</f>
        <v>-3620221251</v>
      </c>
      <c r="G41" s="14">
        <f>E41-F41</f>
        <v>-798573620</v>
      </c>
      <c r="H41" s="2" t="s">
        <v>301</v>
      </c>
    </row>
    <row r="43" spans="1:8">
      <c r="B43" s="18" t="s">
        <v>302</v>
      </c>
      <c r="D43" s="19" t="str">
        <f>IF(ROUND(D41-'손익계산서'!E43,0)=0,"OK","차이")</f>
        <v>OK</v>
      </c>
      <c r="E43" s="19" t="str">
        <f>IF(ROUND(E41-'손익계산서'!H43,0)=0,"OK","차이")</f>
        <v>OK</v>
      </c>
      <c r="F43" s="19" t="str">
        <f>IF(ROUND(F41-'손익계산서'!I43,0)=0,"OK","차이")</f>
        <v>OK</v>
      </c>
    </row>
  </sheetData>
  <pageMargins left="0.4" right="0.4" top="0.5" bottom="0.5" header="0.3" footer="0.3"/>
  <pageSetup paperSize="9" fitToHeight="0" orientation="portrait"/>
  <headerFooter>
    <oddFooter>&amp;L&amp;8도담소프트(가상) 전기조서 WTB 2024&amp;C&amp;8&amp;A&amp;R&amp;8&amp;P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H1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7" width="17.7109375" customWidth="1"/>
    <col min="8" max="8" width="30.7109375" customWidth="1"/>
  </cols>
  <sheetData>
    <row r="1" spans="1:8">
      <c r="A1" s="1" t="s">
        <v>303</v>
      </c>
    </row>
    <row r="2" spans="1:8">
      <c r="A2" s="2" t="s">
        <v>304</v>
      </c>
    </row>
    <row r="4" spans="1:8">
      <c r="A4" s="6" t="s">
        <v>3</v>
      </c>
      <c r="B4" s="6" t="s">
        <v>185</v>
      </c>
      <c r="C4" s="6" t="s">
        <v>187</v>
      </c>
      <c r="D4" s="6" t="s">
        <v>189</v>
      </c>
      <c r="E4" s="6" t="s">
        <v>305</v>
      </c>
      <c r="F4" s="6" t="s">
        <v>306</v>
      </c>
      <c r="G4" s="6" t="s">
        <v>307</v>
      </c>
      <c r="H4" s="6" t="s">
        <v>10</v>
      </c>
    </row>
    <row r="5" spans="1:8">
      <c r="A5" s="18" t="s">
        <v>308</v>
      </c>
      <c r="B5" s="15">
        <v>350000000</v>
      </c>
      <c r="C5" s="15">
        <v>26800000000</v>
      </c>
      <c r="D5" s="15">
        <v>105000000</v>
      </c>
      <c r="E5" s="15">
        <v>0</v>
      </c>
      <c r="F5" s="15">
        <v>-19694151945</v>
      </c>
      <c r="G5" s="15">
        <f>SUM(B5:F5)</f>
        <v>7560848055</v>
      </c>
      <c r="H5" s="2" t="s">
        <v>309</v>
      </c>
    </row>
    <row r="6" spans="1:8">
      <c r="A6" s="27" t="s">
        <v>310</v>
      </c>
      <c r="B6" s="14"/>
      <c r="C6" s="14"/>
      <c r="D6" s="14">
        <v>135000000</v>
      </c>
      <c r="E6" s="14"/>
      <c r="F6" s="14"/>
      <c r="G6" s="14">
        <f>SUM(B6:F6)</f>
        <v>135000000</v>
      </c>
      <c r="H6" s="2" t="s">
        <v>311</v>
      </c>
    </row>
    <row r="7" spans="1:8">
      <c r="A7" s="27" t="s">
        <v>312</v>
      </c>
      <c r="B7" s="14"/>
      <c r="C7" s="14"/>
      <c r="D7" s="14"/>
      <c r="E7" s="14"/>
      <c r="F7" s="14">
        <f>'손익계산서'!I43</f>
        <v>-3620221251</v>
      </c>
      <c r="G7" s="14">
        <f>SUM(B7:F7)</f>
        <v>-3620221251</v>
      </c>
      <c r="H7" s="2" t="s">
        <v>313</v>
      </c>
    </row>
    <row r="8" spans="1:8">
      <c r="A8" s="24" t="s">
        <v>314</v>
      </c>
      <c r="B8" s="25">
        <f>SUM(B5:B7)</f>
        <v>350000000</v>
      </c>
      <c r="C8" s="25">
        <f>SUM(C5:C7)</f>
        <v>26800000000</v>
      </c>
      <c r="D8" s="25">
        <f>SUM(D5:D7)</f>
        <v>240000000</v>
      </c>
      <c r="E8" s="25">
        <f>SUM(E5:E7)</f>
        <v>0</v>
      </c>
      <c r="F8" s="25">
        <f>SUM(F5:F7)</f>
        <v>-23314373196</v>
      </c>
      <c r="G8" s="25">
        <f>SUM(B8:F8)</f>
        <v>4075626804</v>
      </c>
    </row>
    <row r="10" spans="1:8">
      <c r="A10" s="18" t="s">
        <v>315</v>
      </c>
      <c r="B10" s="22">
        <f>B8</f>
        <v>350000000</v>
      </c>
      <c r="C10" s="22">
        <f>C8</f>
        <v>26800000000</v>
      </c>
      <c r="D10" s="22">
        <f>D8</f>
        <v>240000000</v>
      </c>
      <c r="E10" s="22">
        <f>E8</f>
        <v>0</v>
      </c>
      <c r="F10" s="22">
        <f>F8</f>
        <v>-23314373196</v>
      </c>
      <c r="G10" s="22">
        <f>SUM(B10:F10)</f>
        <v>4075626804</v>
      </c>
    </row>
    <row r="11" spans="1:8">
      <c r="A11" s="27" t="s">
        <v>316</v>
      </c>
      <c r="B11" s="14">
        <f>-('TB'!H31-'TB'!I31)</f>
        <v>15000000</v>
      </c>
      <c r="C11" s="14">
        <f>-('TB'!H32-'TB'!I32)</f>
        <v>2985000000</v>
      </c>
      <c r="D11" s="14"/>
      <c r="E11" s="14"/>
      <c r="F11" s="14"/>
      <c r="G11" s="14">
        <f>SUM(B11:F11)</f>
        <v>3000000000</v>
      </c>
      <c r="H11" s="2" t="s">
        <v>317</v>
      </c>
    </row>
    <row r="12" spans="1:8">
      <c r="A12" s="27" t="s">
        <v>310</v>
      </c>
      <c r="B12" s="14"/>
      <c r="C12" s="14"/>
      <c r="D12" s="14">
        <f>'TB'!H56</f>
        <v>180000000</v>
      </c>
      <c r="E12" s="14"/>
      <c r="F12" s="14"/>
      <c r="G12" s="14">
        <f>SUM(B12:F12)</f>
        <v>180000000</v>
      </c>
      <c r="H12" s="2" t="s">
        <v>318</v>
      </c>
    </row>
    <row r="13" spans="1:8">
      <c r="A13" s="27" t="s">
        <v>312</v>
      </c>
      <c r="B13" s="14"/>
      <c r="C13" s="14"/>
      <c r="D13" s="14"/>
      <c r="E13" s="14"/>
      <c r="F13" s="14">
        <f>'손익계산서'!H43</f>
        <v>-4418794871</v>
      </c>
      <c r="G13" s="14">
        <f>SUM(B13:F13)</f>
        <v>-4418794871</v>
      </c>
      <c r="H13" s="2" t="s">
        <v>319</v>
      </c>
    </row>
    <row r="14" spans="1:8">
      <c r="A14" s="16" t="s">
        <v>320</v>
      </c>
      <c r="B14" s="17">
        <f>SUM(B10:B13)</f>
        <v>365000000</v>
      </c>
      <c r="C14" s="17">
        <f>SUM(C10:C13)</f>
        <v>29785000000</v>
      </c>
      <c r="D14" s="17">
        <f>SUM(D10:D13)</f>
        <v>420000000</v>
      </c>
      <c r="E14" s="17">
        <f>SUM(E10:E13)</f>
        <v>0</v>
      </c>
      <c r="F14" s="17">
        <f>SUM(F10:F13)</f>
        <v>-27733168067</v>
      </c>
      <c r="G14" s="17">
        <f>SUM(B14:F14)</f>
        <v>2836831933</v>
      </c>
    </row>
    <row r="16" spans="1:8">
      <c r="A16" s="2" t="s">
        <v>321</v>
      </c>
      <c r="B16" s="13">
        <f>'공시용BS'!E43</f>
        <v>365000000</v>
      </c>
      <c r="C16" s="13">
        <f>'공시용BS'!E46</f>
        <v>29785000000</v>
      </c>
      <c r="D16" s="13">
        <f>'공시용BS'!E48</f>
        <v>420000000</v>
      </c>
      <c r="E16" s="13">
        <v>0</v>
      </c>
      <c r="F16" s="13">
        <f>'공시용BS'!E50</f>
        <v>-27733168067</v>
      </c>
      <c r="G16" s="13">
        <f>'공시용BS'!E52</f>
        <v>2836831933</v>
      </c>
    </row>
    <row r="17" spans="1:8">
      <c r="A17" s="18" t="s">
        <v>322</v>
      </c>
      <c r="B17" s="14">
        <f>B14-B16</f>
        <v>0</v>
      </c>
      <c r="C17" s="14">
        <f>C14-C16</f>
        <v>0</v>
      </c>
      <c r="D17" s="14">
        <f>D14-D16</f>
        <v>0</v>
      </c>
      <c r="E17" s="14">
        <f>E14-E16</f>
        <v>0</v>
      </c>
      <c r="F17" s="14">
        <f>F14-F16</f>
        <v>0</v>
      </c>
      <c r="G17" s="14">
        <f>G14-G16</f>
        <v>0</v>
      </c>
      <c r="H17" s="19" t="str">
        <f>IF(SUMPRODUCT(ABS(B17:G17))&lt;1,"OK","변동 줄 확인")</f>
        <v>OK</v>
      </c>
    </row>
    <row r="18" spans="1:8">
      <c r="A18" s="2" t="s">
        <v>323</v>
      </c>
      <c r="B18" s="13">
        <f>'공시용BS'!F43</f>
        <v>350000000</v>
      </c>
      <c r="C18" s="13">
        <f>'공시용BS'!F46</f>
        <v>26800000000</v>
      </c>
      <c r="D18" s="13">
        <f>'공시용BS'!F48</f>
        <v>240000000</v>
      </c>
      <c r="E18" s="13">
        <v>0</v>
      </c>
      <c r="F18" s="13">
        <f>'공시용BS'!F50</f>
        <v>-23314373196</v>
      </c>
      <c r="G18" s="13">
        <f>'공시용BS'!F52</f>
        <v>4075626804</v>
      </c>
    </row>
    <row r="19" spans="1:8">
      <c r="A19" s="18" t="s">
        <v>324</v>
      </c>
      <c r="B19" s="14">
        <f>B8-B18</f>
        <v>0</v>
      </c>
      <c r="C19" s="14">
        <f>C8-C18</f>
        <v>0</v>
      </c>
      <c r="D19" s="14">
        <f>D8-D18</f>
        <v>0</v>
      </c>
      <c r="E19" s="14">
        <f>E8-E18</f>
        <v>0</v>
      </c>
      <c r="F19" s="14">
        <f>F8-F18</f>
        <v>0</v>
      </c>
      <c r="G19" s="14">
        <f>G8-G18</f>
        <v>0</v>
      </c>
      <c r="H19" s="19" t="str">
        <f>IF(SUMPRODUCT(ABS(B19:G19))&lt;1,"OK","변동 줄 확인")</f>
        <v>OK</v>
      </c>
    </row>
  </sheetData>
  <pageMargins left="0.4" right="0.4" top="0.5" bottom="0.5" header="0.3" footer="0.3"/>
  <pageSetup paperSize="9" fitToHeight="0" orientation="landscape"/>
  <headerFooter>
    <oddFooter>&amp;L&amp;8도담소프트(가상) 전기조서 WTB 2024&amp;C&amp;8&amp;A&amp;R&amp;8&amp;P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I66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28.7109375" customWidth="1"/>
    <col min="3" max="3" width="30.7109375" customWidth="1"/>
    <col min="4" max="4" width="14.7109375" customWidth="1"/>
    <col min="5" max="9" width="16.7109375" customWidth="1"/>
  </cols>
  <sheetData>
    <row r="1" spans="1:9">
      <c r="A1" s="1" t="s">
        <v>325</v>
      </c>
    </row>
    <row r="2" spans="1:9">
      <c r="A2" s="2" t="s">
        <v>326</v>
      </c>
    </row>
    <row r="4" spans="1:9">
      <c r="A4" s="6" t="s">
        <v>42</v>
      </c>
      <c r="B4" s="6" t="s">
        <v>13</v>
      </c>
      <c r="C4" s="6" t="s">
        <v>327</v>
      </c>
      <c r="D4" s="6" t="s">
        <v>328</v>
      </c>
      <c r="E4" s="6" t="s">
        <v>134</v>
      </c>
      <c r="F4" s="6" t="s">
        <v>329</v>
      </c>
      <c r="G4" s="6" t="s">
        <v>330</v>
      </c>
      <c r="H4" s="6" t="s">
        <v>201</v>
      </c>
      <c r="I4" s="6" t="s">
        <v>136</v>
      </c>
    </row>
    <row r="5" spans="1:9">
      <c r="A5" s="10">
        <v>10500</v>
      </c>
      <c r="B5" t="s">
        <v>54</v>
      </c>
      <c r="C5" s="13">
        <f>'TB'!I6</f>
        <v>3000000000</v>
      </c>
      <c r="D5" s="13">
        <f>'TB'!H6</f>
        <v>3000000000</v>
      </c>
      <c r="E5" s="14">
        <f>D5-C5</f>
        <v>0</v>
      </c>
      <c r="F5" s="14">
        <f>-E5</f>
        <v>0</v>
      </c>
      <c r="G5" s="14">
        <f>SUMIF('CF정산표'!$A$42:$A$65,$A5,'CF정산표'!$E$42:$E$65)</f>
        <v>0</v>
      </c>
      <c r="H5" s="14">
        <f>F5-G5</f>
        <v>0</v>
      </c>
      <c r="I5" s="19" t="str">
        <f>IF(ROUND(H5,0)=0,"OK","배분 확인")</f>
        <v>OK</v>
      </c>
    </row>
    <row r="6" spans="1:9">
      <c r="A6" s="10">
        <v>10800</v>
      </c>
      <c r="B6" t="s">
        <v>56</v>
      </c>
      <c r="C6" s="13">
        <f>'TB'!I7</f>
        <v>540152971</v>
      </c>
      <c r="D6" s="13">
        <f>'TB'!H7</f>
        <v>681160188</v>
      </c>
      <c r="E6" s="14">
        <f>D6-C6</f>
        <v>141007217</v>
      </c>
      <c r="F6" s="14">
        <f>-E6</f>
        <v>-141007217</v>
      </c>
      <c r="G6" s="14">
        <f>SUMIF('CF정산표'!$A$42:$A$65,$A6,'CF정산표'!$E$42:$E$65)</f>
        <v>-141007217</v>
      </c>
      <c r="H6" s="14">
        <f>F6-G6</f>
        <v>0</v>
      </c>
      <c r="I6" s="19" t="str">
        <f>IF(ROUND(H6,0)=0,"OK","배분 확인")</f>
        <v>OK</v>
      </c>
    </row>
    <row r="7" spans="1:9">
      <c r="A7" s="10">
        <v>11600</v>
      </c>
      <c r="B7" t="s">
        <v>30</v>
      </c>
      <c r="C7" s="13">
        <f>'TB'!I8</f>
        <v>109002740</v>
      </c>
      <c r="D7" s="13">
        <f>'TB'!H8</f>
        <v>103561644</v>
      </c>
      <c r="E7" s="14">
        <f>D7-C7</f>
        <v>-5441096</v>
      </c>
      <c r="F7" s="14">
        <f>-E7</f>
        <v>5441096</v>
      </c>
      <c r="G7" s="14">
        <f>SUMIF('CF정산표'!$A$42:$A$65,$A7,'CF정산표'!$E$42:$E$65)</f>
        <v>5441096</v>
      </c>
      <c r="H7" s="14">
        <f>F7-G7</f>
        <v>0</v>
      </c>
      <c r="I7" s="19" t="str">
        <f>IF(ROUND(H7,0)=0,"OK","배분 확인")</f>
        <v>OK</v>
      </c>
    </row>
    <row r="8" spans="1:9">
      <c r="A8" s="10">
        <v>13300</v>
      </c>
      <c r="B8" t="s">
        <v>25</v>
      </c>
      <c r="C8" s="13">
        <f>'TB'!I9</f>
        <v>0</v>
      </c>
      <c r="D8" s="13">
        <f>'TB'!H9</f>
        <v>45000000</v>
      </c>
      <c r="E8" s="14">
        <f>D8-C8</f>
        <v>45000000</v>
      </c>
      <c r="F8" s="14">
        <f>-E8</f>
        <v>-45000000</v>
      </c>
      <c r="G8" s="14">
        <f>SUMIF('CF정산표'!$A$42:$A$65,$A8,'CF정산표'!$E$42:$E$65)</f>
        <v>-45000000</v>
      </c>
      <c r="H8" s="14">
        <f>F8-G8</f>
        <v>0</v>
      </c>
      <c r="I8" s="19" t="str">
        <f>IF(ROUND(H8,0)=0,"OK","배분 확인")</f>
        <v>OK</v>
      </c>
    </row>
    <row r="9" spans="1:9">
      <c r="A9" s="10">
        <v>13500</v>
      </c>
      <c r="B9" t="s">
        <v>59</v>
      </c>
      <c r="C9" s="13">
        <f>'TB'!I10</f>
        <v>151000000</v>
      </c>
      <c r="D9" s="13">
        <f>'TB'!H10</f>
        <v>111738000</v>
      </c>
      <c r="E9" s="14">
        <f>D9-C9</f>
        <v>-39262000</v>
      </c>
      <c r="F9" s="14">
        <f>-E9</f>
        <v>39262000</v>
      </c>
      <c r="G9" s="14">
        <f>SUMIF('CF정산표'!$A$42:$A$65,$A9,'CF정산표'!$E$42:$E$65)</f>
        <v>39262000</v>
      </c>
      <c r="H9" s="14">
        <f>F9-G9</f>
        <v>0</v>
      </c>
      <c r="I9" s="19" t="str">
        <f>IF(ROUND(H9,0)=0,"OK","배분 확인")</f>
        <v>OK</v>
      </c>
    </row>
    <row r="10" spans="1:9">
      <c r="A10" s="10">
        <v>13600</v>
      </c>
      <c r="B10" t="s">
        <v>60</v>
      </c>
      <c r="C10" s="13">
        <f>'TB'!I11</f>
        <v>0</v>
      </c>
      <c r="D10" s="13">
        <f>'TB'!H11</f>
        <v>18609360</v>
      </c>
      <c r="E10" s="14">
        <f>D10-C10</f>
        <v>18609360</v>
      </c>
      <c r="F10" s="14">
        <f>-E10</f>
        <v>-18609360</v>
      </c>
      <c r="G10" s="14">
        <f>SUMIF('CF정산표'!$A$42:$A$65,$A10,'CF정산표'!$E$42:$E$65)</f>
        <v>-18609360</v>
      </c>
      <c r="H10" s="14">
        <f>F10-G10</f>
        <v>0</v>
      </c>
      <c r="I10" s="19" t="str">
        <f>IF(ROUND(H10,0)=0,"OK","배분 확인")</f>
        <v>OK</v>
      </c>
    </row>
    <row r="11" spans="1:9">
      <c r="A11" s="10">
        <v>17800</v>
      </c>
      <c r="B11" t="s">
        <v>38</v>
      </c>
      <c r="C11" s="13">
        <f>'TB'!I12</f>
        <v>0</v>
      </c>
      <c r="D11" s="13">
        <f>'TB'!H12</f>
        <v>0</v>
      </c>
      <c r="E11" s="14">
        <f>D11-C11</f>
        <v>0</v>
      </c>
      <c r="F11" s="14">
        <f>-E11</f>
        <v>0</v>
      </c>
      <c r="G11" s="14">
        <f>SUMIF('CF정산표'!$A$42:$A$65,$A11,'CF정산표'!$E$42:$E$65)</f>
        <v>0</v>
      </c>
      <c r="H11" s="14">
        <f>F11-G11</f>
        <v>0</v>
      </c>
      <c r="I11" s="19" t="str">
        <f>IF(ROUND(H11,0)=0,"OK","배분 확인")</f>
        <v>OK</v>
      </c>
    </row>
    <row r="12" spans="1:9">
      <c r="A12" s="10">
        <v>18000</v>
      </c>
      <c r="B12" t="s">
        <v>37</v>
      </c>
      <c r="C12" s="13">
        <f>'TB'!I13</f>
        <v>1180000000</v>
      </c>
      <c r="D12" s="13">
        <f>'TB'!H13</f>
        <v>1180000000</v>
      </c>
      <c r="E12" s="14">
        <f>D12-C12</f>
        <v>0</v>
      </c>
      <c r="F12" s="14">
        <f>-E12</f>
        <v>0</v>
      </c>
      <c r="G12" s="14">
        <f>SUMIF('CF정산표'!$A$42:$A$65,$A12,'CF정산표'!$E$42:$E$65)</f>
        <v>0</v>
      </c>
      <c r="H12" s="14">
        <f>F12-G12</f>
        <v>0</v>
      </c>
      <c r="I12" s="19" t="str">
        <f>IF(ROUND(H12,0)=0,"OK","배분 확인")</f>
        <v>OK</v>
      </c>
    </row>
    <row r="13" spans="1:9">
      <c r="A13" s="10">
        <v>17900</v>
      </c>
      <c r="B13" t="s">
        <v>63</v>
      </c>
      <c r="C13" s="13">
        <f>'TB'!I14</f>
        <v>60000000</v>
      </c>
      <c r="D13" s="13">
        <f>'TB'!H14</f>
        <v>60000000</v>
      </c>
      <c r="E13" s="14">
        <f>D13-C13</f>
        <v>0</v>
      </c>
      <c r="F13" s="14">
        <f>-E13</f>
        <v>0</v>
      </c>
      <c r="G13" s="14">
        <f>SUMIF('CF정산표'!$A$42:$A$65,$A13,'CF정산표'!$E$42:$E$65)</f>
        <v>0</v>
      </c>
      <c r="H13" s="14">
        <f>F13-G13</f>
        <v>0</v>
      </c>
      <c r="I13" s="19" t="str">
        <f>IF(ROUND(H13,0)=0,"OK","배분 확인")</f>
        <v>OK</v>
      </c>
    </row>
    <row r="14" spans="1:9">
      <c r="A14" s="10">
        <v>21200</v>
      </c>
      <c r="B14" t="s">
        <v>64</v>
      </c>
      <c r="C14" s="13">
        <f>'TB'!I15</f>
        <v>1130900000</v>
      </c>
      <c r="D14" s="13">
        <f>'TB'!H15</f>
        <v>1245000000</v>
      </c>
      <c r="E14" s="14">
        <f>D14-C14</f>
        <v>114100000</v>
      </c>
      <c r="F14" s="14">
        <f>-E14</f>
        <v>-114100000</v>
      </c>
      <c r="G14" s="14">
        <f>SUMIF('CF정산표'!$A$42:$A$65,$A14,'CF정산표'!$E$42:$E$65)</f>
        <v>-114100000</v>
      </c>
      <c r="H14" s="14">
        <f>F14-G14</f>
        <v>0</v>
      </c>
      <c r="I14" s="19" t="str">
        <f>IF(ROUND(H14,0)=0,"OK","배분 확인")</f>
        <v>OK</v>
      </c>
    </row>
    <row r="15" spans="1:9">
      <c r="A15" s="10">
        <v>21300</v>
      </c>
      <c r="B15" t="s">
        <v>66</v>
      </c>
      <c r="C15" s="13">
        <f>'TB'!I16</f>
        <v>-493333152</v>
      </c>
      <c r="D15" s="13">
        <f>'TB'!H16</f>
        <v>-771043482</v>
      </c>
      <c r="E15" s="14">
        <f>D15-C15</f>
        <v>-277710330</v>
      </c>
      <c r="F15" s="14">
        <f>-E15</f>
        <v>277710330</v>
      </c>
      <c r="G15" s="14">
        <f>SUMIF('CF정산표'!$A$42:$A$65,$A15,'CF정산표'!$E$42:$E$65)</f>
        <v>277710330</v>
      </c>
      <c r="H15" s="14">
        <f>F15-G15</f>
        <v>0</v>
      </c>
      <c r="I15" s="19" t="str">
        <f>IF(ROUND(H15,0)=0,"OK","배분 확인")</f>
        <v>OK</v>
      </c>
    </row>
    <row r="16" spans="1:9">
      <c r="A16" s="10">
        <v>22100</v>
      </c>
      <c r="B16" t="s">
        <v>68</v>
      </c>
      <c r="C16" s="13">
        <f>'TB'!I17</f>
        <v>798000000</v>
      </c>
      <c r="D16" s="13">
        <f>'TB'!H17</f>
        <v>798000000</v>
      </c>
      <c r="E16" s="14">
        <f>D16-C16</f>
        <v>0</v>
      </c>
      <c r="F16" s="14">
        <f>-E16</f>
        <v>0</v>
      </c>
      <c r="G16" s="14">
        <f>SUMIF('CF정산표'!$A$42:$A$65,$A16,'CF정산표'!$E$42:$E$65)</f>
        <v>0</v>
      </c>
      <c r="H16" s="14">
        <f>F16-G16</f>
        <v>0</v>
      </c>
      <c r="I16" s="19" t="str">
        <f>IF(ROUND(H16,0)=0,"OK","배분 확인")</f>
        <v>OK</v>
      </c>
    </row>
    <row r="17" spans="1:9">
      <c r="A17" s="10">
        <v>22200</v>
      </c>
      <c r="B17" t="s">
        <v>66</v>
      </c>
      <c r="C17" s="13">
        <f>'TB'!I18</f>
        <v>-237166651</v>
      </c>
      <c r="D17" s="13">
        <f>'TB'!H18</f>
        <v>-396766639</v>
      </c>
      <c r="E17" s="14">
        <f>D17-C17</f>
        <v>-159599988</v>
      </c>
      <c r="F17" s="14">
        <f>-E17</f>
        <v>159599988</v>
      </c>
      <c r="G17" s="14">
        <f>SUMIF('CF정산표'!$A$42:$A$65,$A17,'CF정산표'!$E$42:$E$65)</f>
        <v>159599988</v>
      </c>
      <c r="H17" s="14">
        <f>F17-G17</f>
        <v>0</v>
      </c>
      <c r="I17" s="19" t="str">
        <f>IF(ROUND(H17,0)=0,"OK","배분 확인")</f>
        <v>OK</v>
      </c>
    </row>
    <row r="18" spans="1:9">
      <c r="A18" s="10">
        <v>24000</v>
      </c>
      <c r="B18" t="s">
        <v>70</v>
      </c>
      <c r="C18" s="13">
        <f>'TB'!I19</f>
        <v>104400000</v>
      </c>
      <c r="D18" s="13">
        <f>'TB'!H19</f>
        <v>119200000</v>
      </c>
      <c r="E18" s="14">
        <f>D18-C18</f>
        <v>14800000</v>
      </c>
      <c r="F18" s="14">
        <f>-E18</f>
        <v>-14800000</v>
      </c>
      <c r="G18" s="14">
        <f>SUMIF('CF정산표'!$A$42:$A$65,$A18,'CF정산표'!$E$42:$E$65)</f>
        <v>-14800000</v>
      </c>
      <c r="H18" s="14">
        <f>F18-G18</f>
        <v>0</v>
      </c>
      <c r="I18" s="19" t="str">
        <f>IF(ROUND(H18,0)=0,"OK","배분 확인")</f>
        <v>OK</v>
      </c>
    </row>
    <row r="19" spans="1:9">
      <c r="A19" s="10">
        <v>23200</v>
      </c>
      <c r="B19" t="s">
        <v>72</v>
      </c>
      <c r="C19" s="13">
        <f>'TB'!I20</f>
        <v>46983337</v>
      </c>
      <c r="D19" s="13">
        <f>'TB'!H20</f>
        <v>41183341</v>
      </c>
      <c r="E19" s="14">
        <f>D19-C19</f>
        <v>-5799996</v>
      </c>
      <c r="F19" s="14">
        <f>-E19</f>
        <v>5799996</v>
      </c>
      <c r="G19" s="14">
        <f>SUMIF('CF정산표'!$A$42:$A$65,$A19,'CF정산표'!$E$42:$E$65)</f>
        <v>5799996</v>
      </c>
      <c r="H19" s="14">
        <f>F19-G19</f>
        <v>0</v>
      </c>
      <c r="I19" s="19" t="str">
        <f>IF(ROUND(H19,0)=0,"OK","배분 확인")</f>
        <v>OK</v>
      </c>
    </row>
    <row r="20" spans="1:9">
      <c r="A20" s="10">
        <v>18300</v>
      </c>
      <c r="B20" t="s">
        <v>73</v>
      </c>
      <c r="C20" s="13">
        <f>'TB'!I21</f>
        <v>380000000</v>
      </c>
      <c r="D20" s="13">
        <f>'TB'!H21</f>
        <v>380000000</v>
      </c>
      <c r="E20" s="14">
        <f>D20-C20</f>
        <v>0</v>
      </c>
      <c r="F20" s="14">
        <f>-E20</f>
        <v>0</v>
      </c>
      <c r="G20" s="14">
        <f>SUMIF('CF정산표'!$A$42:$A$65,$A20,'CF정산표'!$E$42:$E$65)</f>
        <v>0</v>
      </c>
      <c r="H20" s="14">
        <f>F20-G20</f>
        <v>0</v>
      </c>
      <c r="I20" s="19" t="str">
        <f>IF(ROUND(H20,0)=0,"OK","배분 확인")</f>
        <v>OK</v>
      </c>
    </row>
    <row r="21" spans="1:9">
      <c r="A21" s="10">
        <v>25100</v>
      </c>
      <c r="B21" t="s">
        <v>74</v>
      </c>
      <c r="C21" s="13">
        <f>'TB'!I22</f>
        <v>-176000000</v>
      </c>
      <c r="D21" s="13">
        <f>'TB'!H22</f>
        <v>-228536000</v>
      </c>
      <c r="E21" s="14">
        <f>D21-C21</f>
        <v>-52536000</v>
      </c>
      <c r="F21" s="14">
        <f>-E21</f>
        <v>52536000</v>
      </c>
      <c r="G21" s="14">
        <f>SUMIF('CF정산표'!$A$42:$A$65,$A21,'CF정산표'!$E$42:$E$65)</f>
        <v>52536000</v>
      </c>
      <c r="H21" s="14">
        <f>F21-G21</f>
        <v>0</v>
      </c>
      <c r="I21" s="19" t="str">
        <f>IF(ROUND(H21,0)=0,"OK","배분 확인")</f>
        <v>OK</v>
      </c>
    </row>
    <row r="22" spans="1:9">
      <c r="A22" s="10">
        <v>25300</v>
      </c>
      <c r="B22" t="s">
        <v>77</v>
      </c>
      <c r="C22" s="13">
        <f>'TB'!I23</f>
        <v>-119600000</v>
      </c>
      <c r="D22" s="13">
        <f>'TB'!H23</f>
        <v>-149096000</v>
      </c>
      <c r="E22" s="14">
        <f>D22-C22</f>
        <v>-29496000</v>
      </c>
      <c r="F22" s="14">
        <f>-E22</f>
        <v>29496000</v>
      </c>
      <c r="G22" s="14">
        <f>SUMIF('CF정산표'!$A$42:$A$65,$A22,'CF정산표'!$E$42:$E$65)</f>
        <v>29496000</v>
      </c>
      <c r="H22" s="14">
        <f>F22-G22</f>
        <v>0</v>
      </c>
      <c r="I22" s="19" t="str">
        <f>IF(ROUND(H22,0)=0,"OK","배분 확인")</f>
        <v>OK</v>
      </c>
    </row>
    <row r="23" spans="1:9">
      <c r="A23" s="10">
        <v>25400</v>
      </c>
      <c r="B23" t="s">
        <v>79</v>
      </c>
      <c r="C23" s="13">
        <f>'TB'!I24</f>
        <v>-151620000</v>
      </c>
      <c r="D23" s="13">
        <f>'TB'!H24</f>
        <v>-188039650</v>
      </c>
      <c r="E23" s="14">
        <f>D23-C23</f>
        <v>-36419650</v>
      </c>
      <c r="F23" s="14">
        <f>-E23</f>
        <v>36419650</v>
      </c>
      <c r="G23" s="14">
        <f>SUMIF('CF정산표'!$A$42:$A$65,$A23,'CF정산표'!$E$42:$E$65)</f>
        <v>36419650</v>
      </c>
      <c r="H23" s="14">
        <f>F23-G23</f>
        <v>0</v>
      </c>
      <c r="I23" s="19" t="str">
        <f>IF(ROUND(H23,0)=0,"OK","배분 확인")</f>
        <v>OK</v>
      </c>
    </row>
    <row r="24" spans="1:9">
      <c r="A24" s="10">
        <v>25500</v>
      </c>
      <c r="B24" t="s">
        <v>80</v>
      </c>
      <c r="C24" s="13">
        <f>'TB'!I25</f>
        <v>-414939340</v>
      </c>
      <c r="D24" s="13">
        <f>'TB'!H25</f>
        <v>-389788078</v>
      </c>
      <c r="E24" s="14">
        <f>D24-C24</f>
        <v>25151262</v>
      </c>
      <c r="F24" s="14">
        <f>-E24</f>
        <v>-25151262</v>
      </c>
      <c r="G24" s="14">
        <f>SUMIF('CF정산표'!$A$42:$A$65,$A24,'CF정산표'!$E$42:$E$65)</f>
        <v>-25151262</v>
      </c>
      <c r="H24" s="14">
        <f>F24-G24</f>
        <v>0</v>
      </c>
      <c r="I24" s="19" t="str">
        <f>IF(ROUND(H24,0)=0,"OK","배분 확인")</f>
        <v>OK</v>
      </c>
    </row>
    <row r="25" spans="1:9">
      <c r="A25" s="10">
        <v>25900</v>
      </c>
      <c r="B25" t="s">
        <v>81</v>
      </c>
      <c r="C25" s="13">
        <f>'TB'!I26</f>
        <v>-477191701</v>
      </c>
      <c r="D25" s="13">
        <f>'TB'!H26</f>
        <v>-554533357</v>
      </c>
      <c r="E25" s="14">
        <f>D25-C25</f>
        <v>-77341656</v>
      </c>
      <c r="F25" s="14">
        <f>-E25</f>
        <v>77341656</v>
      </c>
      <c r="G25" s="14">
        <f>SUMIF('CF정산표'!$A$42:$A$65,$A25,'CF정산표'!$E$42:$E$65)</f>
        <v>77341656</v>
      </c>
      <c r="H25" s="14">
        <f>F25-G25</f>
        <v>0</v>
      </c>
      <c r="I25" s="19" t="str">
        <f>IF(ROUND(H25,0)=0,"OK","배분 확인")</f>
        <v>OK</v>
      </c>
    </row>
    <row r="26" spans="1:9">
      <c r="A26" s="10">
        <v>26000</v>
      </c>
      <c r="B26" t="s">
        <v>83</v>
      </c>
      <c r="C26" s="13">
        <f>'TB'!I27</f>
        <v>-2000000000</v>
      </c>
      <c r="D26" s="13">
        <f>'TB'!H27</f>
        <v>-2000000000</v>
      </c>
      <c r="E26" s="14">
        <f>D26-C26</f>
        <v>0</v>
      </c>
      <c r="F26" s="14">
        <f>-E26</f>
        <v>0</v>
      </c>
      <c r="G26" s="14">
        <f>SUMIF('CF정산표'!$A$42:$A$65,$A26,'CF정산표'!$E$42:$E$65)</f>
        <v>0</v>
      </c>
      <c r="H26" s="14">
        <f>F26-G26</f>
        <v>0</v>
      </c>
      <c r="I26" s="19" t="str">
        <f>IF(ROUND(H26,0)=0,"OK","배분 확인")</f>
        <v>OK</v>
      </c>
    </row>
    <row r="27" spans="1:9">
      <c r="A27" s="10">
        <v>26200</v>
      </c>
      <c r="B27" t="s">
        <v>21</v>
      </c>
      <c r="C27" s="13">
        <f>'TB'!I28</f>
        <v>0</v>
      </c>
      <c r="D27" s="13">
        <f>'TB'!H28</f>
        <v>-38400000</v>
      </c>
      <c r="E27" s="14">
        <f>D27-C27</f>
        <v>-38400000</v>
      </c>
      <c r="F27" s="14">
        <f>-E27</f>
        <v>38400000</v>
      </c>
      <c r="G27" s="14">
        <f>SUMIF('CF정산표'!$A$42:$A$65,$A27,'CF정산표'!$E$42:$E$65)</f>
        <v>38400000</v>
      </c>
      <c r="H27" s="14">
        <f>F27-G27</f>
        <v>0</v>
      </c>
      <c r="I27" s="19" t="str">
        <f>IF(ROUND(H27,0)=0,"OK","배분 확인")</f>
        <v>OK</v>
      </c>
    </row>
    <row r="28" spans="1:9">
      <c r="A28" s="10">
        <v>29300</v>
      </c>
      <c r="B28" t="s">
        <v>85</v>
      </c>
      <c r="C28" s="13">
        <f>'TB'!I29</f>
        <v>-3000000000</v>
      </c>
      <c r="D28" s="13">
        <f>'TB'!H29</f>
        <v>-3000000000</v>
      </c>
      <c r="E28" s="14">
        <f>D28-C28</f>
        <v>0</v>
      </c>
      <c r="F28" s="14">
        <f>-E28</f>
        <v>0</v>
      </c>
      <c r="G28" s="14">
        <f>SUMIF('CF정산표'!$A$42:$A$65,$A28,'CF정산표'!$E$42:$E$65)</f>
        <v>0</v>
      </c>
      <c r="H28" s="14">
        <f>F28-G28</f>
        <v>0</v>
      </c>
      <c r="I28" s="19" t="str">
        <f>IF(ROUND(H28,0)=0,"OK","배분 확인")</f>
        <v>OK</v>
      </c>
    </row>
    <row r="29" spans="1:9">
      <c r="A29" s="10">
        <v>33100</v>
      </c>
      <c r="B29" t="s">
        <v>86</v>
      </c>
      <c r="C29" s="13">
        <f>'TB'!I30</f>
        <v>-200000000</v>
      </c>
      <c r="D29" s="13">
        <f>'TB'!H30</f>
        <v>-200000000</v>
      </c>
      <c r="E29" s="14">
        <f>D29-C29</f>
        <v>0</v>
      </c>
      <c r="F29" s="14">
        <f>-E29</f>
        <v>0</v>
      </c>
      <c r="G29" s="14">
        <f>SUMIF('CF정산표'!$A$42:$A$65,$A29,'CF정산표'!$E$42:$E$65)</f>
        <v>0</v>
      </c>
      <c r="H29" s="14">
        <f>F29-G29</f>
        <v>0</v>
      </c>
      <c r="I29" s="19" t="str">
        <f>IF(ROUND(H29,0)=0,"OK","배분 확인")</f>
        <v>OK</v>
      </c>
    </row>
    <row r="30" spans="1:9">
      <c r="A30" s="10">
        <v>33200</v>
      </c>
      <c r="B30" t="s">
        <v>89</v>
      </c>
      <c r="C30" s="13">
        <f>'TB'!I31</f>
        <v>-150000000</v>
      </c>
      <c r="D30" s="13">
        <f>'TB'!H31</f>
        <v>-165000000</v>
      </c>
      <c r="E30" s="14">
        <f>D30-C30</f>
        <v>-15000000</v>
      </c>
      <c r="F30" s="14">
        <f>-E30</f>
        <v>15000000</v>
      </c>
      <c r="G30" s="14">
        <f>SUMIF('CF정산표'!$A$42:$A$65,$A30,'CF정산표'!$E$42:$E$65)</f>
        <v>15000000</v>
      </c>
      <c r="H30" s="14">
        <f>F30-G30</f>
        <v>0</v>
      </c>
      <c r="I30" s="19" t="str">
        <f>IF(ROUND(H30,0)=0,"OK","배분 확인")</f>
        <v>OK</v>
      </c>
    </row>
    <row r="31" spans="1:9">
      <c r="A31" s="10">
        <v>34100</v>
      </c>
      <c r="B31" t="s">
        <v>90</v>
      </c>
      <c r="C31" s="13">
        <f>'TB'!I32</f>
        <v>-26800000000</v>
      </c>
      <c r="D31" s="13">
        <f>'TB'!H32</f>
        <v>-29785000000</v>
      </c>
      <c r="E31" s="14">
        <f>D31-C31</f>
        <v>-2985000000</v>
      </c>
      <c r="F31" s="14">
        <f>-E31</f>
        <v>2985000000</v>
      </c>
      <c r="G31" s="14">
        <f>SUMIF('CF정산표'!$A$42:$A$65,$A31,'CF정산표'!$E$42:$E$65)</f>
        <v>2985000000</v>
      </c>
      <c r="H31" s="14">
        <f>F31-G31</f>
        <v>0</v>
      </c>
      <c r="I31" s="19" t="str">
        <f>IF(ROUND(H31,0)=0,"OK","배분 확인")</f>
        <v>OK</v>
      </c>
    </row>
    <row r="32" spans="1:9">
      <c r="A32" s="10">
        <v>38900</v>
      </c>
      <c r="B32" t="s">
        <v>91</v>
      </c>
      <c r="C32" s="13">
        <f>'TB'!I33</f>
        <v>-240000000</v>
      </c>
      <c r="D32" s="13">
        <f>'TB'!H33</f>
        <v>-420000000</v>
      </c>
      <c r="E32" s="14">
        <f>D32-C32</f>
        <v>-180000000</v>
      </c>
      <c r="F32" s="14">
        <f>-E32</f>
        <v>180000000</v>
      </c>
      <c r="G32" s="14">
        <f>SUMIF('CF정산표'!$A$42:$A$65,$A32,'CF정산표'!$E$42:$E$65)</f>
        <v>180000000</v>
      </c>
      <c r="H32" s="14">
        <f>F32-G32</f>
        <v>0</v>
      </c>
      <c r="I32" s="19" t="str">
        <f>IF(ROUND(H32,0)=0,"OK","배분 확인")</f>
        <v>OK</v>
      </c>
    </row>
    <row r="33" spans="1:9">
      <c r="A33" s="10">
        <v>37700</v>
      </c>
      <c r="B33" t="s">
        <v>92</v>
      </c>
      <c r="C33" s="15">
        <v>23314373196</v>
      </c>
      <c r="D33" s="13">
        <f>'TB'!H34</f>
        <v>23314373196</v>
      </c>
      <c r="E33" s="14">
        <f>D33-C33</f>
        <v>0</v>
      </c>
      <c r="F33" s="14">
        <f>-E33</f>
        <v>0</v>
      </c>
      <c r="G33" s="14">
        <f>SUMIF('CF정산표'!$A$42:$A$65,$A33,'CF정산표'!$E$42:$E$65)</f>
        <v>0</v>
      </c>
      <c r="H33" s="14">
        <f>F33-G33</f>
        <v>0</v>
      </c>
      <c r="I33" s="19" t="str">
        <f>IF(ROUND(H33,0)=0,"OK","배분 확인")</f>
        <v>OK</v>
      </c>
    </row>
    <row r="34" spans="1:9">
      <c r="A34" s="10" t="s">
        <v>331</v>
      </c>
      <c r="B34" t="s">
        <v>332</v>
      </c>
      <c r="F34" s="13">
        <f>'손익계산서'!H43</f>
        <v>-4418794871</v>
      </c>
      <c r="G34" s="14">
        <f>SUMIF('CF정산표'!$A$42:$A$65,$A34,'CF정산표'!$E$42:$E$65)</f>
        <v>-4418794871</v>
      </c>
      <c r="H34" s="14">
        <f>F34-G34</f>
        <v>0</v>
      </c>
      <c r="I34" s="19" t="str">
        <f>IF(ROUND(H34,0)=0,"OK","배분 확인")</f>
        <v>OK</v>
      </c>
    </row>
    <row r="35" spans="1:9">
      <c r="A35" s="10" t="s">
        <v>333</v>
      </c>
      <c r="B35" t="s">
        <v>334</v>
      </c>
      <c r="F35" s="14">
        <v>0</v>
      </c>
      <c r="G35" s="14">
        <f>SUMIF('CF정산표'!$A$42:$A$65,$A35,'CF정산표'!$E$42:$E$65)</f>
        <v>0</v>
      </c>
      <c r="H35" s="14">
        <f>F35-G35</f>
        <v>0</v>
      </c>
      <c r="I35" s="19" t="str">
        <f>IF(ROUND(H35,0)=0,"OK","배분 확인")</f>
        <v>OK</v>
      </c>
    </row>
    <row r="36" spans="1:9">
      <c r="B36" s="16" t="s">
        <v>335</v>
      </c>
      <c r="F36" s="17">
        <f>SUM(F5:F35)</f>
        <v>-875455994</v>
      </c>
      <c r="I36" s="19" t="str">
        <f>IF(COUNTIF(I5:I35,"OK")=31,"OK","배분 확인")</f>
        <v>OK</v>
      </c>
    </row>
    <row r="37" spans="1:9">
      <c r="B37" s="2" t="s">
        <v>336</v>
      </c>
      <c r="F37" s="13">
        <f>'TB'!H5-'TB'!I5</f>
        <v>-875455994</v>
      </c>
    </row>
    <row r="38" spans="1:9">
      <c r="B38" s="18" t="s">
        <v>136</v>
      </c>
      <c r="F38" s="19" t="str">
        <f>IF(ROUND(F36-F37,0)=0,"OK","차이")</f>
        <v>OK</v>
      </c>
    </row>
    <row r="40" spans="1:9">
      <c r="A40" s="5" t="s">
        <v>337</v>
      </c>
    </row>
    <row r="41" spans="1:9">
      <c r="A41" s="6" t="s">
        <v>42</v>
      </c>
      <c r="B41" s="6" t="s">
        <v>13</v>
      </c>
      <c r="C41" s="6" t="s">
        <v>338</v>
      </c>
      <c r="D41" s="6" t="s">
        <v>339</v>
      </c>
      <c r="E41" s="6" t="s">
        <v>14</v>
      </c>
      <c r="F41" s="6" t="s">
        <v>10</v>
      </c>
    </row>
    <row r="42" spans="1:9">
      <c r="A42" s="10" t="s">
        <v>331</v>
      </c>
      <c r="B42" t="s">
        <v>332</v>
      </c>
      <c r="C42" t="s">
        <v>340</v>
      </c>
      <c r="D42" s="11" t="s">
        <v>341</v>
      </c>
      <c r="E42" s="13">
        <f>'손익계산서'!H43</f>
        <v>-4418794871</v>
      </c>
      <c r="F42" s="2" t="s">
        <v>319</v>
      </c>
    </row>
    <row r="43" spans="1:9">
      <c r="A43" s="10">
        <v>21300</v>
      </c>
      <c r="B43" t="s">
        <v>67</v>
      </c>
      <c r="C43" t="s">
        <v>108</v>
      </c>
      <c r="D43" s="11" t="s">
        <v>342</v>
      </c>
      <c r="E43" s="12">
        <v>277710330</v>
      </c>
      <c r="F43" s="2" t="s">
        <v>343</v>
      </c>
    </row>
    <row r="44" spans="1:9">
      <c r="A44" s="10">
        <v>22200</v>
      </c>
      <c r="B44" t="s">
        <v>69</v>
      </c>
      <c r="C44" t="s">
        <v>108</v>
      </c>
      <c r="D44" s="11" t="s">
        <v>342</v>
      </c>
      <c r="E44" s="12">
        <v>159599988</v>
      </c>
      <c r="F44" s="2" t="s">
        <v>344</v>
      </c>
    </row>
    <row r="45" spans="1:9">
      <c r="A45" s="10">
        <v>24000</v>
      </c>
      <c r="B45" t="s">
        <v>70</v>
      </c>
      <c r="C45" t="s">
        <v>115</v>
      </c>
      <c r="D45" s="11" t="s">
        <v>342</v>
      </c>
      <c r="E45" s="12">
        <v>33200000</v>
      </c>
      <c r="F45" s="2" t="s">
        <v>345</v>
      </c>
    </row>
    <row r="46" spans="1:9">
      <c r="A46" s="10">
        <v>23200</v>
      </c>
      <c r="B46" t="s">
        <v>72</v>
      </c>
      <c r="C46" t="s">
        <v>115</v>
      </c>
      <c r="D46" s="11" t="s">
        <v>342</v>
      </c>
      <c r="E46" s="12">
        <v>5799996</v>
      </c>
      <c r="F46" s="2" t="s">
        <v>346</v>
      </c>
    </row>
    <row r="47" spans="1:9">
      <c r="A47" s="10">
        <v>38900</v>
      </c>
      <c r="B47" t="s">
        <v>91</v>
      </c>
      <c r="C47" t="s">
        <v>117</v>
      </c>
      <c r="D47" s="11" t="s">
        <v>342</v>
      </c>
      <c r="E47" s="12">
        <v>180000000</v>
      </c>
      <c r="F47" s="2" t="s">
        <v>347</v>
      </c>
    </row>
    <row r="48" spans="1:9">
      <c r="A48" s="10">
        <v>10800</v>
      </c>
      <c r="B48" t="s">
        <v>57</v>
      </c>
      <c r="C48" t="s">
        <v>119</v>
      </c>
      <c r="D48" s="11" t="s">
        <v>342</v>
      </c>
      <c r="E48" s="12">
        <v>-879893</v>
      </c>
      <c r="F48" s="2" t="s">
        <v>348</v>
      </c>
    </row>
    <row r="49" spans="1:6">
      <c r="A49" s="10" t="s">
        <v>333</v>
      </c>
      <c r="B49" t="s">
        <v>334</v>
      </c>
      <c r="C49" t="s">
        <v>119</v>
      </c>
      <c r="D49" s="11" t="s">
        <v>342</v>
      </c>
      <c r="E49" s="12">
        <v>-11888263</v>
      </c>
      <c r="F49" s="2" t="s">
        <v>349</v>
      </c>
    </row>
    <row r="50" spans="1:6">
      <c r="A50" s="10" t="s">
        <v>333</v>
      </c>
      <c r="B50" t="s">
        <v>334</v>
      </c>
      <c r="C50" t="s">
        <v>350</v>
      </c>
      <c r="D50" s="11" t="s">
        <v>351</v>
      </c>
      <c r="E50" s="12">
        <v>11888263</v>
      </c>
      <c r="F50" s="2" t="s">
        <v>352</v>
      </c>
    </row>
    <row r="51" spans="1:6">
      <c r="A51" s="10">
        <v>10800</v>
      </c>
      <c r="B51" t="s">
        <v>56</v>
      </c>
      <c r="C51" t="s">
        <v>353</v>
      </c>
      <c r="D51" s="11" t="s">
        <v>354</v>
      </c>
      <c r="E51" s="12">
        <v>-140127324</v>
      </c>
      <c r="F51" s="2" t="s">
        <v>355</v>
      </c>
    </row>
    <row r="52" spans="1:6">
      <c r="A52" s="10">
        <v>11600</v>
      </c>
      <c r="B52" t="s">
        <v>30</v>
      </c>
      <c r="C52" t="s">
        <v>356</v>
      </c>
      <c r="D52" s="11" t="s">
        <v>354</v>
      </c>
      <c r="E52" s="12">
        <v>5441096</v>
      </c>
      <c r="F52" s="2" t="s">
        <v>357</v>
      </c>
    </row>
    <row r="53" spans="1:6">
      <c r="A53" s="10">
        <v>13300</v>
      </c>
      <c r="B53" t="s">
        <v>25</v>
      </c>
      <c r="C53" t="s">
        <v>358</v>
      </c>
      <c r="D53" s="11" t="s">
        <v>354</v>
      </c>
      <c r="E53" s="12">
        <v>-45000000</v>
      </c>
      <c r="F53" s="2" t="s">
        <v>357</v>
      </c>
    </row>
    <row r="54" spans="1:6">
      <c r="A54" s="10">
        <v>13500</v>
      </c>
      <c r="B54" t="s">
        <v>59</v>
      </c>
      <c r="C54" t="s">
        <v>359</v>
      </c>
      <c r="D54" s="11" t="s">
        <v>354</v>
      </c>
      <c r="E54" s="12">
        <v>39262000</v>
      </c>
      <c r="F54" s="2" t="s">
        <v>357</v>
      </c>
    </row>
    <row r="55" spans="1:6">
      <c r="A55" s="10">
        <v>13600</v>
      </c>
      <c r="B55" t="s">
        <v>60</v>
      </c>
      <c r="C55" t="s">
        <v>360</v>
      </c>
      <c r="D55" s="11" t="s">
        <v>354</v>
      </c>
      <c r="E55" s="12">
        <v>-18609360</v>
      </c>
      <c r="F55" s="2" t="s">
        <v>357</v>
      </c>
    </row>
    <row r="56" spans="1:6">
      <c r="A56" s="10">
        <v>25100</v>
      </c>
      <c r="B56" t="s">
        <v>74</v>
      </c>
      <c r="C56" t="s">
        <v>361</v>
      </c>
      <c r="D56" s="11" t="s">
        <v>354</v>
      </c>
      <c r="E56" s="12">
        <v>52536000</v>
      </c>
      <c r="F56" s="2" t="s">
        <v>357</v>
      </c>
    </row>
    <row r="57" spans="1:6">
      <c r="A57" s="10">
        <v>25300</v>
      </c>
      <c r="B57" t="s">
        <v>77</v>
      </c>
      <c r="C57" t="s">
        <v>362</v>
      </c>
      <c r="D57" s="11" t="s">
        <v>354</v>
      </c>
      <c r="E57" s="12">
        <v>29496000</v>
      </c>
      <c r="F57" s="2" t="s">
        <v>357</v>
      </c>
    </row>
    <row r="58" spans="1:6">
      <c r="A58" s="10">
        <v>25400</v>
      </c>
      <c r="B58" t="s">
        <v>79</v>
      </c>
      <c r="C58" t="s">
        <v>363</v>
      </c>
      <c r="D58" s="11" t="s">
        <v>354</v>
      </c>
      <c r="E58" s="12">
        <v>36419650</v>
      </c>
      <c r="F58" s="2" t="s">
        <v>357</v>
      </c>
    </row>
    <row r="59" spans="1:6">
      <c r="A59" s="10">
        <v>25500</v>
      </c>
      <c r="B59" t="s">
        <v>80</v>
      </c>
      <c r="C59" t="s">
        <v>364</v>
      </c>
      <c r="D59" s="11" t="s">
        <v>354</v>
      </c>
      <c r="E59" s="12">
        <v>-25151262</v>
      </c>
      <c r="F59" s="2" t="s">
        <v>357</v>
      </c>
    </row>
    <row r="60" spans="1:6">
      <c r="A60" s="10">
        <v>25900</v>
      </c>
      <c r="B60" t="s">
        <v>81</v>
      </c>
      <c r="C60" t="s">
        <v>365</v>
      </c>
      <c r="D60" s="11" t="s">
        <v>354</v>
      </c>
      <c r="E60" s="12">
        <v>77341656</v>
      </c>
      <c r="F60" s="2" t="s">
        <v>357</v>
      </c>
    </row>
    <row r="61" spans="1:6">
      <c r="A61" s="10">
        <v>26200</v>
      </c>
      <c r="B61" t="s">
        <v>21</v>
      </c>
      <c r="C61" t="s">
        <v>366</v>
      </c>
      <c r="D61" s="11" t="s">
        <v>354</v>
      </c>
      <c r="E61" s="12">
        <v>38400000</v>
      </c>
      <c r="F61" s="2" t="s">
        <v>357</v>
      </c>
    </row>
    <row r="62" spans="1:6">
      <c r="A62" s="10">
        <v>21200</v>
      </c>
      <c r="B62" t="s">
        <v>64</v>
      </c>
      <c r="C62" t="s">
        <v>367</v>
      </c>
      <c r="D62" s="11" t="s">
        <v>368</v>
      </c>
      <c r="E62" s="12">
        <v>-114100000</v>
      </c>
      <c r="F62" s="2" t="s">
        <v>369</v>
      </c>
    </row>
    <row r="63" spans="1:6">
      <c r="A63" s="10">
        <v>24000</v>
      </c>
      <c r="B63" t="s">
        <v>70</v>
      </c>
      <c r="C63" t="s">
        <v>370</v>
      </c>
      <c r="D63" s="11" t="s">
        <v>368</v>
      </c>
      <c r="E63" s="12">
        <v>-48000000</v>
      </c>
      <c r="F63" s="2" t="s">
        <v>369</v>
      </c>
    </row>
    <row r="64" spans="1:6">
      <c r="A64" s="10">
        <v>33200</v>
      </c>
      <c r="B64" t="s">
        <v>89</v>
      </c>
      <c r="C64" t="s">
        <v>371</v>
      </c>
      <c r="D64" s="11" t="s">
        <v>372</v>
      </c>
      <c r="E64" s="12">
        <v>15000000</v>
      </c>
      <c r="F64" s="2" t="s">
        <v>373</v>
      </c>
    </row>
    <row r="65" spans="1:6">
      <c r="A65" s="10">
        <v>34100</v>
      </c>
      <c r="B65" t="s">
        <v>90</v>
      </c>
      <c r="C65" t="s">
        <v>371</v>
      </c>
      <c r="D65" s="11" t="s">
        <v>372</v>
      </c>
      <c r="E65" s="12">
        <v>2985000000</v>
      </c>
      <c r="F65" s="2" t="s">
        <v>373</v>
      </c>
    </row>
    <row r="66" spans="1:6">
      <c r="B66" s="16" t="s">
        <v>39</v>
      </c>
      <c r="E66" s="17">
        <f>SUM(E42:E65)</f>
        <v>-875455994</v>
      </c>
    </row>
  </sheetData>
  <pageMargins left="0.4" right="0.4" top="0.5" bottom="0.5" header="0.3" footer="0.3"/>
  <pageSetup paperSize="9" fitToHeight="0" orientation="landscape"/>
  <headerFooter>
    <oddFooter>&amp;L&amp;8도담소프트(가상) 전기조서 WTB 2024&amp;C&amp;8&amp;A&amp;R&amp;8&amp;P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E43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46.7109375" customWidth="1"/>
    <col min="3" max="4" width="17.7109375" customWidth="1"/>
    <col min="5" max="5" width="30.7109375" customWidth="1"/>
  </cols>
  <sheetData>
    <row r="1" spans="1:5">
      <c r="B1" s="1" t="s">
        <v>374</v>
      </c>
    </row>
    <row r="2" spans="1:5">
      <c r="B2" s="2" t="s">
        <v>375</v>
      </c>
    </row>
    <row r="4" spans="1:5">
      <c r="A4" s="6" t="s">
        <v>3</v>
      </c>
      <c r="B4" s="6" t="s">
        <v>204</v>
      </c>
      <c r="C4" s="6" t="s">
        <v>376</v>
      </c>
      <c r="D4" s="6" t="s">
        <v>377</v>
      </c>
      <c r="E4" s="6" t="s">
        <v>378</v>
      </c>
    </row>
    <row r="5" spans="1:5">
      <c r="A5" s="2" t="s">
        <v>379</v>
      </c>
      <c r="B5" s="18" t="s">
        <v>380</v>
      </c>
      <c r="C5" s="22">
        <f>SUM(C6,C7,C11,C13)</f>
        <v>-3725244257</v>
      </c>
      <c r="D5" s="22">
        <f>SUM(D6,D7,D11,D13)</f>
        <v>-3056051158</v>
      </c>
    </row>
    <row r="6" spans="1:5">
      <c r="A6" s="2" t="s">
        <v>379</v>
      </c>
      <c r="B6" t="s">
        <v>381</v>
      </c>
      <c r="C6" s="13">
        <f>SUMIF('CF정산표'!$C$42:$C$65,$E6,'CF정산표'!$E$42:$E$65)</f>
        <v>-4418794871</v>
      </c>
      <c r="D6" s="15">
        <v>-3620221251</v>
      </c>
      <c r="E6" s="2" t="s">
        <v>340</v>
      </c>
    </row>
    <row r="7" spans="1:5">
      <c r="A7" s="2" t="s">
        <v>379</v>
      </c>
      <c r="B7" s="27" t="s">
        <v>382</v>
      </c>
      <c r="C7" s="14">
        <f>SUM(C8,C9,C10)</f>
        <v>656310314</v>
      </c>
      <c r="D7" s="14">
        <f>SUM(D8,D9,D10)</f>
        <v>552474888</v>
      </c>
    </row>
    <row r="8" spans="1:5">
      <c r="A8" s="2" t="s">
        <v>379</v>
      </c>
      <c r="B8" t="s">
        <v>383</v>
      </c>
      <c r="C8" s="13">
        <f>SUMIF('CF정산표'!$C$42:$C$65,$E8,'CF정산표'!$E$42:$E$65)</f>
        <v>437310318</v>
      </c>
      <c r="D8" s="15">
        <v>385458225</v>
      </c>
      <c r="E8" s="2" t="s">
        <v>108</v>
      </c>
    </row>
    <row r="9" spans="1:5">
      <c r="A9" s="2" t="s">
        <v>379</v>
      </c>
      <c r="B9" t="s">
        <v>384</v>
      </c>
      <c r="C9" s="13">
        <f>SUMIF('CF정산표'!$C$42:$C$65,$E9,'CF정산표'!$E$42:$E$65)</f>
        <v>38999996</v>
      </c>
      <c r="D9" s="15">
        <v>32016663</v>
      </c>
      <c r="E9" s="2" t="s">
        <v>115</v>
      </c>
    </row>
    <row r="10" spans="1:5">
      <c r="A10" s="2" t="s">
        <v>379</v>
      </c>
      <c r="B10" t="s">
        <v>385</v>
      </c>
      <c r="C10" s="13">
        <f>SUMIF('CF정산표'!$C$42:$C$65,$E10,'CF정산표'!$E$42:$E$65)</f>
        <v>180000000</v>
      </c>
      <c r="D10" s="15">
        <v>135000000</v>
      </c>
      <c r="E10" s="2" t="s">
        <v>117</v>
      </c>
    </row>
    <row r="11" spans="1:5">
      <c r="A11" s="2" t="s">
        <v>379</v>
      </c>
      <c r="B11" s="27" t="s">
        <v>386</v>
      </c>
      <c r="C11" s="14">
        <f>SUM(C12)</f>
        <v>-12768156</v>
      </c>
      <c r="D11" s="14">
        <f>SUM(D12)</f>
        <v>-3126488</v>
      </c>
    </row>
    <row r="12" spans="1:5">
      <c r="A12" s="2" t="s">
        <v>379</v>
      </c>
      <c r="B12" t="s">
        <v>387</v>
      </c>
      <c r="C12" s="13">
        <f>SUMIF('CF정산표'!$C$42:$C$65,$E12,'CF정산표'!$E$42:$E$65)</f>
        <v>-12768156</v>
      </c>
      <c r="D12" s="15">
        <v>-3126488</v>
      </c>
      <c r="E12" s="2" t="s">
        <v>119</v>
      </c>
    </row>
    <row r="13" spans="1:5">
      <c r="A13" s="2" t="s">
        <v>379</v>
      </c>
      <c r="B13" s="27" t="s">
        <v>388</v>
      </c>
      <c r="C13" s="14">
        <f>SUM(C14,C15,C16,C17,C18,C19,C20,C21,C22,C23,C24)</f>
        <v>50008456</v>
      </c>
      <c r="D13" s="14">
        <f>SUM(D14,D15,D16,D17,D18,D19,D20,D21,D22,D23,D24)</f>
        <v>14821693</v>
      </c>
    </row>
    <row r="14" spans="1:5">
      <c r="A14" s="2" t="s">
        <v>379</v>
      </c>
      <c r="B14" t="s">
        <v>389</v>
      </c>
      <c r="C14" s="13">
        <f>SUMIF('CF정산표'!$C$42:$C$65,$E14,'CF정산표'!$E$42:$E$65)</f>
        <v>-140127324</v>
      </c>
      <c r="D14" s="15">
        <v>-110248043</v>
      </c>
      <c r="E14" s="2" t="s">
        <v>353</v>
      </c>
    </row>
    <row r="15" spans="1:5">
      <c r="A15" s="2" t="s">
        <v>379</v>
      </c>
      <c r="B15" t="s">
        <v>390</v>
      </c>
      <c r="C15" s="13">
        <f>SUMIF('CF정산표'!$C$42:$C$65,$E15,'CF정산표'!$E$42:$E$65)</f>
        <v>5441096</v>
      </c>
      <c r="D15" s="15">
        <v>-109002740</v>
      </c>
      <c r="E15" s="2" t="s">
        <v>356</v>
      </c>
    </row>
    <row r="16" spans="1:5">
      <c r="A16" s="2" t="s">
        <v>379</v>
      </c>
      <c r="B16" t="s">
        <v>391</v>
      </c>
      <c r="C16" s="13">
        <f>SUMIF('CF정산표'!$C$42:$C$65,$E16,'CF정산표'!$E$42:$E$65)</f>
        <v>-45000000</v>
      </c>
      <c r="D16" s="15">
        <v>0</v>
      </c>
      <c r="E16" s="2" t="s">
        <v>358</v>
      </c>
    </row>
    <row r="17" spans="1:5">
      <c r="A17" s="2" t="s">
        <v>379</v>
      </c>
      <c r="B17" t="s">
        <v>392</v>
      </c>
      <c r="C17" s="13">
        <f>SUMIF('CF정산표'!$C$42:$C$65,$E17,'CF정산표'!$E$42:$E$65)</f>
        <v>39262000</v>
      </c>
      <c r="D17" s="15">
        <v>-24582800</v>
      </c>
      <c r="E17" s="2" t="s">
        <v>359</v>
      </c>
    </row>
    <row r="18" spans="1:5">
      <c r="A18" s="2" t="s">
        <v>379</v>
      </c>
      <c r="B18" t="s">
        <v>393</v>
      </c>
      <c r="C18" s="13">
        <f>SUMIF('CF정산표'!$C$42:$C$65,$E18,'CF정산표'!$E$42:$E$65)</f>
        <v>-18609360</v>
      </c>
      <c r="D18" s="15">
        <v>0</v>
      </c>
      <c r="E18" s="2" t="s">
        <v>360</v>
      </c>
    </row>
    <row r="19" spans="1:5">
      <c r="A19" s="2" t="s">
        <v>379</v>
      </c>
      <c r="B19" t="s">
        <v>394</v>
      </c>
      <c r="C19" s="13">
        <f>SUMIF('CF정산표'!$C$42:$C$65,$E19,'CF정산표'!$E$42:$E$65)</f>
        <v>52536000</v>
      </c>
      <c r="D19" s="15">
        <v>32225600</v>
      </c>
      <c r="E19" s="2" t="s">
        <v>361</v>
      </c>
    </row>
    <row r="20" spans="1:5">
      <c r="A20" s="2" t="s">
        <v>379</v>
      </c>
      <c r="B20" t="s">
        <v>395</v>
      </c>
      <c r="C20" s="13">
        <f>SUMIF('CF정산표'!$C$42:$C$65,$E20,'CF정산표'!$E$42:$E$65)</f>
        <v>29496000</v>
      </c>
      <c r="D20" s="15">
        <v>21001760</v>
      </c>
      <c r="E20" s="2" t="s">
        <v>362</v>
      </c>
    </row>
    <row r="21" spans="1:5">
      <c r="A21" s="2" t="s">
        <v>379</v>
      </c>
      <c r="B21" t="s">
        <v>396</v>
      </c>
      <c r="C21" s="13">
        <f>SUMIF('CF정산표'!$C$42:$C$65,$E21,'CF정산표'!$E$42:$E$65)</f>
        <v>36419650</v>
      </c>
      <c r="D21" s="15">
        <v>19816734</v>
      </c>
      <c r="E21" s="2" t="s">
        <v>363</v>
      </c>
    </row>
    <row r="22" spans="1:5">
      <c r="A22" s="2" t="s">
        <v>379</v>
      </c>
      <c r="B22" t="s">
        <v>397</v>
      </c>
      <c r="C22" s="13">
        <f>SUMIF('CF정산표'!$C$42:$C$65,$E22,'CF정산표'!$E$42:$E$65)</f>
        <v>-25151262</v>
      </c>
      <c r="D22" s="15">
        <v>77718138</v>
      </c>
      <c r="E22" s="2" t="s">
        <v>364</v>
      </c>
    </row>
    <row r="23" spans="1:5">
      <c r="A23" s="2" t="s">
        <v>379</v>
      </c>
      <c r="B23" t="s">
        <v>398</v>
      </c>
      <c r="C23" s="13">
        <f>SUMIF('CF정산표'!$C$42:$C$65,$E23,'CF정산표'!$E$42:$E$65)</f>
        <v>77341656</v>
      </c>
      <c r="D23" s="15">
        <v>107893044</v>
      </c>
      <c r="E23" s="2" t="s">
        <v>365</v>
      </c>
    </row>
    <row r="24" spans="1:5">
      <c r="A24" s="2" t="s">
        <v>379</v>
      </c>
      <c r="B24" t="s">
        <v>399</v>
      </c>
      <c r="C24" s="13">
        <f>SUMIF('CF정산표'!$C$42:$C$65,$E24,'CF정산표'!$E$42:$E$65)</f>
        <v>38400000</v>
      </c>
      <c r="D24" s="15">
        <v>0</v>
      </c>
      <c r="E24" s="2" t="s">
        <v>366</v>
      </c>
    </row>
    <row r="25" spans="1:5">
      <c r="A25" s="2" t="s">
        <v>379</v>
      </c>
      <c r="B25" s="18" t="s">
        <v>400</v>
      </c>
      <c r="C25" s="22">
        <f>SUM(C26,C27)</f>
        <v>-162100000</v>
      </c>
      <c r="D25" s="22">
        <f>SUM(D26,D27)</f>
        <v>-3426000000</v>
      </c>
    </row>
    <row r="26" spans="1:5">
      <c r="A26" s="2" t="s">
        <v>379</v>
      </c>
      <c r="B26" s="27" t="s">
        <v>401</v>
      </c>
      <c r="C26" s="14">
        <f>SUM(0)</f>
        <v>0</v>
      </c>
      <c r="D26" s="14">
        <f>SUM(0)</f>
        <v>0</v>
      </c>
    </row>
    <row r="27" spans="1:5">
      <c r="A27" s="2" t="s">
        <v>379</v>
      </c>
      <c r="B27" s="27" t="s">
        <v>402</v>
      </c>
      <c r="C27" s="14">
        <f>SUM(C28,C29,C30,C31,C32)</f>
        <v>-162100000</v>
      </c>
      <c r="D27" s="14">
        <f>SUM(D28,D29,D30,D31,D32)</f>
        <v>-3426000000</v>
      </c>
    </row>
    <row r="28" spans="1:5">
      <c r="A28" s="2" t="s">
        <v>379</v>
      </c>
      <c r="B28" t="s">
        <v>403</v>
      </c>
      <c r="C28" s="13">
        <f>SUMIF('CF정산표'!$C$42:$C$65,$E28,'CF정산표'!$E$42:$E$65)</f>
        <v>0</v>
      </c>
      <c r="D28" s="15">
        <v>-3000000000</v>
      </c>
      <c r="E28" s="2" t="s">
        <v>404</v>
      </c>
    </row>
    <row r="29" spans="1:5">
      <c r="A29" s="2" t="s">
        <v>379</v>
      </c>
      <c r="B29" t="s">
        <v>405</v>
      </c>
      <c r="C29" s="13">
        <f>SUMIF('CF정산표'!$C$42:$C$65,$E29,'CF정산표'!$E$42:$E$65)</f>
        <v>-114100000</v>
      </c>
      <c r="D29" s="15">
        <v>-192000000</v>
      </c>
      <c r="E29" s="2" t="s">
        <v>367</v>
      </c>
    </row>
    <row r="30" spans="1:5">
      <c r="A30" s="2" t="s">
        <v>379</v>
      </c>
      <c r="B30" t="s">
        <v>406</v>
      </c>
      <c r="C30" s="13">
        <f>SUMIF('CF정산표'!$C$42:$C$65,$E30,'CF정산표'!$E$42:$E$65)</f>
        <v>0</v>
      </c>
      <c r="D30" s="15">
        <v>-158000000</v>
      </c>
      <c r="E30" s="2" t="s">
        <v>407</v>
      </c>
    </row>
    <row r="31" spans="1:5">
      <c r="A31" s="2" t="s">
        <v>379</v>
      </c>
      <c r="B31" t="s">
        <v>408</v>
      </c>
      <c r="C31" s="13">
        <f>SUMIF('CF정산표'!$C$42:$C$65,$E31,'CF정산표'!$E$42:$E$65)</f>
        <v>-48000000</v>
      </c>
      <c r="D31" s="15">
        <v>-54000000</v>
      </c>
      <c r="E31" s="2" t="s">
        <v>370</v>
      </c>
    </row>
    <row r="32" spans="1:5">
      <c r="A32" s="2" t="s">
        <v>379</v>
      </c>
      <c r="B32" t="s">
        <v>409</v>
      </c>
      <c r="C32" s="13">
        <f>SUMIF('CF정산표'!$C$42:$C$65,$E32,'CF정산표'!$E$42:$E$65)</f>
        <v>0</v>
      </c>
      <c r="D32" s="15">
        <v>-22000000</v>
      </c>
      <c r="E32" s="2" t="s">
        <v>410</v>
      </c>
    </row>
    <row r="33" spans="1:5">
      <c r="A33" s="2" t="s">
        <v>379</v>
      </c>
      <c r="B33" s="18" t="s">
        <v>411</v>
      </c>
      <c r="C33" s="22">
        <f>SUM(C34,C37)</f>
        <v>3000000000</v>
      </c>
      <c r="D33" s="22">
        <f>SUM(D34,D37)</f>
        <v>3000000000</v>
      </c>
    </row>
    <row r="34" spans="1:5">
      <c r="A34" s="2" t="s">
        <v>379</v>
      </c>
      <c r="B34" s="27" t="s">
        <v>412</v>
      </c>
      <c r="C34" s="14">
        <f>SUM(C35,C36)</f>
        <v>3000000000</v>
      </c>
      <c r="D34" s="14">
        <f>SUM(D35,D36)</f>
        <v>3000000000</v>
      </c>
    </row>
    <row r="35" spans="1:5">
      <c r="A35" s="2" t="s">
        <v>379</v>
      </c>
      <c r="B35" t="s">
        <v>413</v>
      </c>
      <c r="C35" s="13">
        <f>SUMIF('CF정산표'!$C$42:$C$65,$E35,'CF정산표'!$E$42:$E$65)</f>
        <v>3000000000</v>
      </c>
      <c r="D35" s="15">
        <v>0</v>
      </c>
      <c r="E35" s="2" t="s">
        <v>371</v>
      </c>
    </row>
    <row r="36" spans="1:5">
      <c r="A36" s="2" t="s">
        <v>379</v>
      </c>
      <c r="B36" t="s">
        <v>414</v>
      </c>
      <c r="C36" s="13">
        <f>SUMIF('CF정산표'!$C$42:$C$65,$E36,'CF정산표'!$E$42:$E$65)</f>
        <v>0</v>
      </c>
      <c r="D36" s="15">
        <v>3000000000</v>
      </c>
      <c r="E36" s="2" t="s">
        <v>415</v>
      </c>
    </row>
    <row r="37" spans="1:5">
      <c r="A37" s="2" t="s">
        <v>379</v>
      </c>
      <c r="B37" s="27" t="s">
        <v>416</v>
      </c>
      <c r="C37" s="14">
        <f>SUM(0)</f>
        <v>0</v>
      </c>
      <c r="D37" s="14">
        <f>SUM(0)</f>
        <v>0</v>
      </c>
    </row>
    <row r="38" spans="1:5">
      <c r="A38" s="2" t="s">
        <v>379</v>
      </c>
      <c r="B38" s="18" t="s">
        <v>417</v>
      </c>
      <c r="C38" s="22">
        <f>SUM(C5,C25,C33)</f>
        <v>-887344257</v>
      </c>
      <c r="D38" s="22">
        <f>SUM(D5,D25,D33)</f>
        <v>-3482051158</v>
      </c>
    </row>
    <row r="39" spans="1:5">
      <c r="A39" s="2" t="s">
        <v>379</v>
      </c>
      <c r="B39" s="18" t="s">
        <v>418</v>
      </c>
      <c r="C39" s="13">
        <f>'공시용BS'!F8</f>
        <v>3645038600</v>
      </c>
      <c r="D39" s="15">
        <v>7124338555</v>
      </c>
    </row>
    <row r="40" spans="1:5">
      <c r="A40" s="2" t="s">
        <v>379</v>
      </c>
      <c r="B40" t="s">
        <v>419</v>
      </c>
      <c r="C40" s="13">
        <f>SUMIF('CF정산표'!$C$42:$C$65,$E40,'CF정산표'!$E$42:$E$65)</f>
        <v>11888263</v>
      </c>
      <c r="D40" s="15">
        <v>2751203</v>
      </c>
      <c r="E40" s="2" t="s">
        <v>350</v>
      </c>
    </row>
    <row r="41" spans="1:5">
      <c r="A41" s="2" t="s">
        <v>379</v>
      </c>
      <c r="B41" s="16" t="s">
        <v>420</v>
      </c>
      <c r="C41" s="17">
        <f>SUM(C38,C39,C40)</f>
        <v>2769582606</v>
      </c>
      <c r="D41" s="17">
        <f>SUM(D38,D39,D40)</f>
        <v>3645038600</v>
      </c>
    </row>
    <row r="43" spans="1:5">
      <c r="B43" s="18" t="s">
        <v>421</v>
      </c>
      <c r="C43" s="19" t="str">
        <f>IF(ROUND(C41-'공시용BS'!E8,0)=0,"OK","차이")</f>
        <v>OK</v>
      </c>
      <c r="D43" s="19" t="str">
        <f>IF(ROUND(D41-'공시용BS'!F8,0)=0,"OK","차이")</f>
        <v>OK</v>
      </c>
    </row>
  </sheetData>
  <pageMargins left="0.4" right="0.4" top="0.5" bottom="0.5" header="0.3" footer="0.3"/>
  <pageSetup paperSize="9" fitToHeight="0" orientation="portrait"/>
  <headerFooter>
    <oddFooter>&amp;L&amp;8도담소프트(가상) 전기조서 WTB 2024&amp;C&amp;8&amp;A&amp;R&amp;8&amp;P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표지</vt:lpstr>
      <vt:lpstr>TB</vt:lpstr>
      <vt:lpstr>재무상태표</vt:lpstr>
      <vt:lpstr>손익계산서</vt:lpstr>
      <vt:lpstr>AJE</vt:lpstr>
      <vt:lpstr>공시용BS</vt:lpstr>
      <vt:lpstr>공시용PL</vt:lpstr>
      <vt:lpstr>공시용자본변동표</vt:lpstr>
      <vt:lpstr>CF정산표</vt:lpstr>
      <vt:lpstr>공시용CF</vt:lpstr>
      <vt:lpstr>TB!Print_Titles</vt:lpstr>
      <vt:lpstr>공시용BS!Print_Titles</vt:lpstr>
      <vt:lpstr>공시용PL!Print_Titles</vt:lpstr>
      <vt:lpstr>손익계산서!Print_Titles</vt:lpstr>
      <vt:lpstr>재무상태표!Print_Titles</vt:lpstr>
    </vt:vector>
  </TitlesOfParts>
  <Company>도담소프트(가상)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전기조서 WTB 2024</dc:title>
  <dc:creator>한울감사반</dc:creator>
  <dc:description>가상 자료(감사 실습용)</dc:description>
  <cp:lastModifiedBy>한울감사반</cp:lastModifiedBy>
  <dcterms:created xsi:type="dcterms:W3CDTF">2026-10-21T03:08:09Z</dcterms:created>
  <dcterms:modified xsi:type="dcterms:W3CDTF">2026-10-21T03:08:09Z</dcterms:modified>
</cp:coreProperties>
</file>